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43" documentId="11_1BA57A0BCA357D1375850D421C43AE8381E2225B" xr6:coauthVersionLast="47" xr6:coauthVersionMax="47" xr10:uidLastSave="{79E329E0-4002-42EC-9978-98AD6C7A2DA8}"/>
  <bookViews>
    <workbookView xWindow="-108" yWindow="-108" windowWidth="23256" windowHeight="12456" xr2:uid="{00000000-000D-0000-FFFF-FFFF00000000}"/>
  </bookViews>
  <sheets>
    <sheet name="Placas_BID2026" sheetId="1" r:id="rId1"/>
  </sheets>
  <externalReferences>
    <externalReference r:id="rId2"/>
  </externalReferences>
  <definedNames>
    <definedName name="_xlnm._FilterDatabase" localSheetId="0" hidden="1">Placas_BID2026!$A$1:$S$392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S1" i="1"/>
  <c r="D275" i="1" l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6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2" i="1"/>
  <c r="D43" i="1"/>
  <c r="D44" i="1"/>
  <c r="D45" i="1"/>
  <c r="D46" i="1"/>
  <c r="D47" i="1"/>
  <c r="D49" i="1"/>
  <c r="D51" i="1"/>
  <c r="D54" i="1"/>
  <c r="D56" i="1"/>
  <c r="D58" i="1"/>
  <c r="D52" i="1"/>
  <c r="D41" i="1"/>
  <c r="D48" i="1"/>
  <c r="D50" i="1"/>
  <c r="D53" i="1"/>
  <c r="D55" i="1"/>
  <c r="D57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</calcChain>
</file>

<file path=xl/sharedStrings.xml><?xml version="1.0" encoding="utf-8"?>
<sst xmlns="http://schemas.openxmlformats.org/spreadsheetml/2006/main" count="4778" uniqueCount="470">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</sst>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FROTA%20DELUNA.xlsx" TargetMode="External"/><Relationship Id="rId2" Type="http://schemas.openxmlformats.org/officeDocument/2006/relationships/externalLinkPath" Target="https://delunatransportes-my.sharepoint.com/personal/alexsander_miranda_delunatransportes_com_br/Documents/&#193;rea%20de%20Trabalho/FROTA%20DELUNA.xlsx" TargetMode="External"/><Relationship Id="rId1" Type="http://schemas.openxmlformats.org/officeDocument/2006/relationships/externalLinkPath" Target="/personal/alexsander_miranda_delunatransportes_com_br/Documents/&#193;rea%20de%20Trabalho/FROTA%20DELU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NAMICA"/>
      <sheetName val="BASE FROTA"/>
      <sheetName val="Planilha1"/>
      <sheetName val="FROTA DELUNA DESCONTO"/>
      <sheetName val="MANUTENÇÃO"/>
      <sheetName val="RECEBIMENTO FROTA"/>
      <sheetName val="FROTA DELUN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92"/>
  <sheetViews>
    <sheetView tabSelected="1" workbookViewId="0">
      <pane ySplit="1" topLeftCell="A354" activePane="bottomLeft" state="frozen"/>
      <selection pane="bottomLeft" activeCell="F139" sqref="F139:I139"/>
    </sheetView>
  </sheetViews>
  <sheetFormatPr defaultRowHeight="14.4" x14ac:dyDescent="0.3"/>
  <cols>
    <col min="1" max="1" width="9.44140625" bestFit="1" customWidth="1"/>
    <col min="2" max="2" width="9.44140625" customWidth="1"/>
    <col min="3" max="3" width="12.6640625" bestFit="1" customWidth="1"/>
    <col min="4" max="4" width="12.6640625" customWidth="1"/>
    <col min="5" max="5" width="5.77734375" bestFit="1" customWidth="1"/>
    <col min="6" max="6" width="24.33203125" bestFit="1" customWidth="1"/>
    <col min="7" max="7" width="16" bestFit="1" customWidth="1"/>
    <col min="8" max="8" width="27.44140625" bestFit="1" customWidth="1"/>
    <col min="9" max="9" width="20.77734375" bestFit="1" customWidth="1"/>
    <col min="10" max="10" width="10.77734375" bestFit="1" customWidth="1"/>
    <col min="11" max="11" width="32.21875" bestFit="1" customWidth="1"/>
    <col min="12" max="12" width="8.21875" bestFit="1" customWidth="1"/>
    <col min="13" max="13" width="12.109375" bestFit="1" customWidth="1"/>
    <col min="14" max="14" width="8.77734375" bestFit="1" customWidth="1"/>
    <col min="15" max="15" width="44.33203125" bestFit="1" customWidth="1"/>
    <col min="16" max="16" width="24.109375" bestFit="1" customWidth="1"/>
    <col min="17" max="17" width="19.5546875" bestFit="1" customWidth="1"/>
    <col min="18" max="19" width="10.5546875" bestFit="1" customWidth="1"/>
  </cols>
  <sheetData>
    <row r="1" spans="1:19" x14ac:dyDescent="0.3">
      <c r="A1" s="1" t="s">
        <v>0</v>
      </c>
      <c r="B1" s="1"/>
      <c r="C1" s="1" t="s">
        <v>223</v>
      </c>
      <c r="D1" s="1" t="s">
        <v>224</v>
      </c>
      <c r="E1" s="1" t="s">
        <v>179</v>
      </c>
      <c r="F1" s="1" t="s">
        <v>180</v>
      </c>
      <c r="G1" s="1" t="s">
        <v>181</v>
      </c>
      <c r="H1" s="1" t="s">
        <v>182</v>
      </c>
      <c r="I1" s="1" t="s">
        <v>183</v>
      </c>
      <c r="J1" s="1" t="s">
        <v>222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2">
        <f ca="1">TODAY()</f>
        <v>46314</v>
      </c>
    </row>
    <row r="2" spans="1:19" x14ac:dyDescent="0.3">
      <c r="A2" t="s">
        <v>9</v>
      </c>
      <c r="B2" t="str">
        <f>VLOOKUP(A2,[1]!Tabela1[[PLACA]:[STATUS]],2,0)</f>
        <v>OK</v>
      </c>
      <c r="C2" s="2">
        <v>46309</v>
      </c>
      <c r="D2">
        <f ca="1">C2-$S$1</f>
        <v>-5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184</v>
      </c>
      <c r="K2" t="s">
        <v>10</v>
      </c>
      <c r="L2" t="s">
        <v>11</v>
      </c>
      <c r="M2" t="s">
        <v>12</v>
      </c>
      <c r="N2" t="s">
        <v>178</v>
      </c>
      <c r="O2" t="s">
        <v>13</v>
      </c>
      <c r="P2" t="s">
        <v>216</v>
      </c>
      <c r="Q2" s="2"/>
      <c r="R2" s="2">
        <v>46139</v>
      </c>
    </row>
    <row r="3" spans="1:19" x14ac:dyDescent="0.3">
      <c r="A3" t="s">
        <v>14</v>
      </c>
      <c r="B3" t="str">
        <f>VLOOKUP(A3,[1]!Tabela1[[PLACA]:[STATUS]],2,0)</f>
        <v>OK</v>
      </c>
      <c r="C3" s="2">
        <v>46309</v>
      </c>
      <c r="D3">
        <f t="shared" ref="D3:D66" ca="1" si="0">C3-$S$1</f>
        <v>-5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184</v>
      </c>
      <c r="K3" t="s">
        <v>10</v>
      </c>
      <c r="L3" t="s">
        <v>11</v>
      </c>
      <c r="M3" t="s">
        <v>12</v>
      </c>
      <c r="N3" t="s">
        <v>178</v>
      </c>
      <c r="O3" t="s">
        <v>13</v>
      </c>
      <c r="P3" t="s">
        <v>216</v>
      </c>
      <c r="Q3" s="2"/>
      <c r="R3" s="2">
        <v>46139</v>
      </c>
    </row>
    <row r="4" spans="1:19" x14ac:dyDescent="0.3">
      <c r="A4" t="s">
        <v>15</v>
      </c>
      <c r="B4" t="str">
        <f>VLOOKUP(A4,[1]!Tabela1[[PLACA]:[STATUS]],2,0)</f>
        <v>OK</v>
      </c>
      <c r="C4" s="2">
        <v>46302</v>
      </c>
      <c r="D4">
        <f t="shared" ca="1" si="0"/>
        <v>-12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184</v>
      </c>
      <c r="K4" t="s">
        <v>10</v>
      </c>
      <c r="L4" t="s">
        <v>11</v>
      </c>
      <c r="M4" t="s">
        <v>12</v>
      </c>
      <c r="N4" t="s">
        <v>178</v>
      </c>
      <c r="O4" t="s">
        <v>13</v>
      </c>
      <c r="P4" t="s">
        <v>216</v>
      </c>
      <c r="Q4" s="2"/>
      <c r="R4" s="2">
        <v>46139</v>
      </c>
    </row>
    <row r="5" spans="1:19" x14ac:dyDescent="0.3">
      <c r="A5" t="s">
        <v>16</v>
      </c>
      <c r="B5" t="str">
        <f>VLOOKUP(A5,[1]!Tabela1[[PLACA]:[STATUS]],2,0)</f>
        <v>OK</v>
      </c>
      <c r="C5" s="2">
        <v>46309</v>
      </c>
      <c r="D5">
        <f t="shared" ca="1" si="0"/>
        <v>-5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184</v>
      </c>
      <c r="K5" t="s">
        <v>225</v>
      </c>
      <c r="L5" t="s">
        <v>11</v>
      </c>
      <c r="M5" t="s">
        <v>12</v>
      </c>
      <c r="N5" t="s">
        <v>178</v>
      </c>
      <c r="O5" t="s">
        <v>13</v>
      </c>
      <c r="P5" t="s">
        <v>216</v>
      </c>
      <c r="Q5" s="2"/>
      <c r="R5" s="2">
        <v>46139</v>
      </c>
    </row>
    <row r="6" spans="1:19" x14ac:dyDescent="0.3">
      <c r="A6" t="s">
        <v>17</v>
      </c>
      <c r="B6" t="str">
        <f>VLOOKUP(A6,[1]!Tabela1[[PLACA]:[STATUS]],2,0)</f>
        <v>OK</v>
      </c>
      <c r="C6" s="2">
        <v>46309</v>
      </c>
      <c r="D6">
        <f t="shared" ca="1" si="0"/>
        <v>-5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184</v>
      </c>
      <c r="K6" t="s">
        <v>225</v>
      </c>
      <c r="L6" t="s">
        <v>11</v>
      </c>
      <c r="M6" t="s">
        <v>12</v>
      </c>
      <c r="N6" t="s">
        <v>178</v>
      </c>
      <c r="O6" t="s">
        <v>13</v>
      </c>
      <c r="P6" t="s">
        <v>216</v>
      </c>
      <c r="Q6" s="2"/>
      <c r="R6" s="2">
        <v>46139</v>
      </c>
    </row>
    <row r="7" spans="1:19" x14ac:dyDescent="0.3">
      <c r="A7" t="s">
        <v>18</v>
      </c>
      <c r="B7" t="str">
        <f>VLOOKUP(A7,[1]!Tabela1[[PLACA]:[STATUS]],2,0)</f>
        <v>OK</v>
      </c>
      <c r="C7" s="2">
        <v>46309</v>
      </c>
      <c r="D7">
        <f t="shared" ca="1" si="0"/>
        <v>-5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184</v>
      </c>
      <c r="K7" t="s">
        <v>225</v>
      </c>
      <c r="L7" t="s">
        <v>11</v>
      </c>
      <c r="M7" t="s">
        <v>12</v>
      </c>
      <c r="N7" t="s">
        <v>178</v>
      </c>
      <c r="O7" t="s">
        <v>13</v>
      </c>
      <c r="P7" t="s">
        <v>216</v>
      </c>
      <c r="Q7" s="2"/>
      <c r="R7" s="2">
        <v>46139</v>
      </c>
    </row>
    <row r="8" spans="1:19" x14ac:dyDescent="0.3">
      <c r="A8" t="s">
        <v>19</v>
      </c>
      <c r="B8" t="str">
        <f>VLOOKUP(A8,[1]!Tabela1[[PLACA]:[STATUS]],2,0)</f>
        <v>OK</v>
      </c>
      <c r="C8" s="2">
        <v>46309</v>
      </c>
      <c r="D8">
        <f t="shared" ca="1" si="0"/>
        <v>-5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184</v>
      </c>
      <c r="K8" t="s">
        <v>225</v>
      </c>
      <c r="L8" t="s">
        <v>11</v>
      </c>
      <c r="M8" t="s">
        <v>12</v>
      </c>
      <c r="N8" t="s">
        <v>178</v>
      </c>
      <c r="O8" t="s">
        <v>13</v>
      </c>
      <c r="P8" t="s">
        <v>216</v>
      </c>
      <c r="Q8" s="2"/>
      <c r="R8" s="2">
        <v>46139</v>
      </c>
    </row>
    <row r="9" spans="1:19" x14ac:dyDescent="0.3">
      <c r="A9" t="s">
        <v>20</v>
      </c>
      <c r="B9" t="str">
        <f>VLOOKUP(A9,[1]!Tabela1[[PLACA]:[STATUS]],2,0)</f>
        <v>OK</v>
      </c>
      <c r="C9" s="2">
        <v>46309</v>
      </c>
      <c r="D9">
        <f t="shared" ca="1" si="0"/>
        <v>-5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184</v>
      </c>
      <c r="K9" t="s">
        <v>225</v>
      </c>
      <c r="L9" t="s">
        <v>11</v>
      </c>
      <c r="M9" t="s">
        <v>12</v>
      </c>
      <c r="N9" t="s">
        <v>178</v>
      </c>
      <c r="O9" t="s">
        <v>13</v>
      </c>
      <c r="P9" t="s">
        <v>216</v>
      </c>
      <c r="Q9" s="2"/>
      <c r="R9" s="2">
        <v>46139</v>
      </c>
    </row>
    <row r="10" spans="1:19" x14ac:dyDescent="0.3">
      <c r="A10" t="s">
        <v>21</v>
      </c>
      <c r="B10" t="str">
        <f>VLOOKUP(A10,[1]!Tabela1[[PLACA]:[STATUS]],2,0)</f>
        <v>OK</v>
      </c>
      <c r="C10" s="2">
        <v>46308</v>
      </c>
      <c r="D10">
        <f t="shared" ca="1" si="0"/>
        <v>-6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184</v>
      </c>
      <c r="K10" t="s">
        <v>22</v>
      </c>
      <c r="L10" t="s">
        <v>11</v>
      </c>
      <c r="M10" t="s">
        <v>23</v>
      </c>
      <c r="N10" t="s">
        <v>24</v>
      </c>
      <c r="O10" t="s">
        <v>25</v>
      </c>
      <c r="P10" t="s">
        <v>217</v>
      </c>
      <c r="Q10" s="2">
        <v>46171</v>
      </c>
      <c r="R10" s="2">
        <v>46171</v>
      </c>
    </row>
    <row r="11" spans="1:19" x14ac:dyDescent="0.3">
      <c r="A11" t="s">
        <v>26</v>
      </c>
      <c r="B11" t="str">
        <f>VLOOKUP(A11,[1]!Tabela1[[PLACA]:[STATUS]],2,0)</f>
        <v>OK</v>
      </c>
      <c r="C11" s="2">
        <v>46308</v>
      </c>
      <c r="D11">
        <f t="shared" ca="1" si="0"/>
        <v>-6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184</v>
      </c>
      <c r="K11" t="s">
        <v>22</v>
      </c>
      <c r="L11" t="s">
        <v>11</v>
      </c>
      <c r="M11" t="s">
        <v>23</v>
      </c>
      <c r="N11" t="s">
        <v>24</v>
      </c>
      <c r="O11" t="s">
        <v>25</v>
      </c>
      <c r="P11" t="s">
        <v>217</v>
      </c>
      <c r="Q11" s="2">
        <v>46171</v>
      </c>
      <c r="R11" s="2">
        <v>46171</v>
      </c>
    </row>
    <row r="12" spans="1:19" x14ac:dyDescent="0.3">
      <c r="A12" t="s">
        <v>27</v>
      </c>
      <c r="B12" t="str">
        <f>VLOOKUP(A12,[1]!Tabela1[[PLACA]:[STATUS]],2,0)</f>
        <v>OK</v>
      </c>
      <c r="C12" s="2">
        <v>46298</v>
      </c>
      <c r="D12">
        <f t="shared" ca="1" si="0"/>
        <v>-16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184</v>
      </c>
      <c r="K12" t="s">
        <v>28</v>
      </c>
      <c r="L12" t="s">
        <v>11</v>
      </c>
      <c r="M12" t="s">
        <v>29</v>
      </c>
      <c r="N12" t="s">
        <v>24</v>
      </c>
      <c r="O12" t="s">
        <v>30</v>
      </c>
      <c r="P12" t="s">
        <v>218</v>
      </c>
      <c r="Q12" s="2">
        <v>46207</v>
      </c>
      <c r="R12" s="2">
        <v>46206</v>
      </c>
    </row>
    <row r="13" spans="1:19" x14ac:dyDescent="0.3">
      <c r="A13" t="s">
        <v>31</v>
      </c>
      <c r="B13" t="str">
        <f>VLOOKUP(A13,[1]!Tabela1[[PLACA]:[STATUS]],2,0)</f>
        <v>OK</v>
      </c>
      <c r="C13" s="2">
        <v>46309</v>
      </c>
      <c r="D13">
        <f t="shared" ca="1" si="0"/>
        <v>-5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184</v>
      </c>
      <c r="K13" t="s">
        <v>32</v>
      </c>
      <c r="L13" t="s">
        <v>33</v>
      </c>
      <c r="M13" t="s">
        <v>29</v>
      </c>
      <c r="N13" t="s">
        <v>34</v>
      </c>
      <c r="O13" t="s">
        <v>35</v>
      </c>
      <c r="P13" t="s">
        <v>219</v>
      </c>
      <c r="Q13" s="2" t="s">
        <v>177</v>
      </c>
      <c r="R13" s="2">
        <v>46202</v>
      </c>
    </row>
    <row r="14" spans="1:19" x14ac:dyDescent="0.3">
      <c r="A14" t="s">
        <v>36</v>
      </c>
      <c r="B14" t="str">
        <f>VLOOKUP(A14,[1]!Tabela1[[PLACA]:[STATUS]],2,0)</f>
        <v>OK</v>
      </c>
      <c r="C14" s="2">
        <v>46309</v>
      </c>
      <c r="D14">
        <f t="shared" ca="1" si="0"/>
        <v>-5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184</v>
      </c>
      <c r="K14" t="s">
        <v>32</v>
      </c>
      <c r="L14" t="s">
        <v>33</v>
      </c>
      <c r="M14" t="s">
        <v>29</v>
      </c>
      <c r="N14" t="s">
        <v>34</v>
      </c>
      <c r="O14" t="s">
        <v>35</v>
      </c>
      <c r="P14" t="s">
        <v>219</v>
      </c>
      <c r="Q14" s="2" t="s">
        <v>177</v>
      </c>
      <c r="R14" s="2">
        <v>46202</v>
      </c>
    </row>
    <row r="15" spans="1:19" x14ac:dyDescent="0.3">
      <c r="A15" t="s">
        <v>37</v>
      </c>
      <c r="B15" t="str">
        <f>VLOOKUP(A15,[1]!Tabela1[[PLACA]:[STATUS]],2,0)</f>
        <v>OK</v>
      </c>
      <c r="C15" s="2">
        <v>46309</v>
      </c>
      <c r="D15">
        <f t="shared" ca="1" si="0"/>
        <v>-5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184</v>
      </c>
      <c r="K15" t="s">
        <v>32</v>
      </c>
      <c r="L15" t="s">
        <v>33</v>
      </c>
      <c r="M15" t="s">
        <v>29</v>
      </c>
      <c r="N15" t="s">
        <v>34</v>
      </c>
      <c r="O15" t="s">
        <v>35</v>
      </c>
      <c r="P15" t="s">
        <v>219</v>
      </c>
      <c r="Q15" s="2" t="s">
        <v>177</v>
      </c>
      <c r="R15" s="2">
        <v>46204</v>
      </c>
    </row>
    <row r="16" spans="1:19" x14ac:dyDescent="0.3">
      <c r="A16" t="s">
        <v>38</v>
      </c>
      <c r="B16" t="str">
        <f>VLOOKUP(A16,[1]!Tabela1[[PLACA]:[STATUS]],2,0)</f>
        <v>OK</v>
      </c>
      <c r="C16" s="2">
        <v>46309</v>
      </c>
      <c r="D16">
        <f t="shared" ca="1" si="0"/>
        <v>-5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184</v>
      </c>
      <c r="K16" t="s">
        <v>32</v>
      </c>
      <c r="L16" t="s">
        <v>33</v>
      </c>
      <c r="M16" t="s">
        <v>29</v>
      </c>
      <c r="N16" t="s">
        <v>34</v>
      </c>
      <c r="O16" t="s">
        <v>35</v>
      </c>
      <c r="P16" t="s">
        <v>219</v>
      </c>
      <c r="Q16" s="2" t="s">
        <v>177</v>
      </c>
      <c r="R16" s="2">
        <v>46202</v>
      </c>
    </row>
    <row r="17" spans="1:18" x14ac:dyDescent="0.3">
      <c r="A17" t="s">
        <v>39</v>
      </c>
      <c r="B17" t="str">
        <f>VLOOKUP(A17,[1]!Tabela1[[PLACA]:[STATUS]],2,0)</f>
        <v>OK</v>
      </c>
      <c r="C17" s="2">
        <v>46309</v>
      </c>
      <c r="D17">
        <f t="shared" ca="1" si="0"/>
        <v>-5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184</v>
      </c>
      <c r="K17" t="s">
        <v>32</v>
      </c>
      <c r="L17" t="s">
        <v>33</v>
      </c>
      <c r="M17" t="s">
        <v>29</v>
      </c>
      <c r="N17" t="s">
        <v>34</v>
      </c>
      <c r="O17" t="s">
        <v>35</v>
      </c>
      <c r="P17" t="s">
        <v>219</v>
      </c>
      <c r="Q17" s="2" t="s">
        <v>177</v>
      </c>
      <c r="R17" s="2">
        <v>46202</v>
      </c>
    </row>
    <row r="18" spans="1:18" x14ac:dyDescent="0.3">
      <c r="A18" t="s">
        <v>40</v>
      </c>
      <c r="B18" t="str">
        <f>VLOOKUP(A18,[1]!Tabela1[[PLACA]:[STATUS]],2,0)</f>
        <v>OK</v>
      </c>
      <c r="C18" s="2">
        <v>46309</v>
      </c>
      <c r="D18">
        <f t="shared" ca="1" si="0"/>
        <v>-5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184</v>
      </c>
      <c r="K18" t="s">
        <v>32</v>
      </c>
      <c r="L18" t="s">
        <v>33</v>
      </c>
      <c r="M18" t="s">
        <v>29</v>
      </c>
      <c r="N18" t="s">
        <v>34</v>
      </c>
      <c r="O18" t="s">
        <v>35</v>
      </c>
      <c r="P18" t="s">
        <v>219</v>
      </c>
      <c r="Q18" s="2" t="s">
        <v>177</v>
      </c>
      <c r="R18" s="2">
        <v>46202</v>
      </c>
    </row>
    <row r="19" spans="1:18" x14ac:dyDescent="0.3">
      <c r="A19" t="s">
        <v>41</v>
      </c>
      <c r="B19" t="str">
        <f>VLOOKUP(A19,[1]!Tabela1[[PLACA]:[STATUS]],2,0)</f>
        <v>OK</v>
      </c>
      <c r="C19" s="2">
        <v>46308</v>
      </c>
      <c r="D19">
        <f t="shared" ca="1" si="0"/>
        <v>-6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184</v>
      </c>
      <c r="K19" t="s">
        <v>32</v>
      </c>
      <c r="L19" t="s">
        <v>33</v>
      </c>
      <c r="M19" t="s">
        <v>29</v>
      </c>
      <c r="N19" t="s">
        <v>34</v>
      </c>
      <c r="O19" t="s">
        <v>35</v>
      </c>
      <c r="P19" t="s">
        <v>219</v>
      </c>
      <c r="Q19" s="2">
        <v>46211</v>
      </c>
      <c r="R19" s="2">
        <v>46211</v>
      </c>
    </row>
    <row r="20" spans="1:18" x14ac:dyDescent="0.3">
      <c r="A20" t="s">
        <v>42</v>
      </c>
      <c r="B20" t="str">
        <f>VLOOKUP(A20,[1]!Tabela1[[PLACA]:[STATUS]],2,0)</f>
        <v>OK</v>
      </c>
      <c r="C20" s="2">
        <v>46309</v>
      </c>
      <c r="D20">
        <f t="shared" ca="1" si="0"/>
        <v>-5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184</v>
      </c>
      <c r="K20" t="s">
        <v>32</v>
      </c>
      <c r="L20" t="s">
        <v>33</v>
      </c>
      <c r="M20" t="s">
        <v>29</v>
      </c>
      <c r="N20" t="s">
        <v>34</v>
      </c>
      <c r="O20" t="s">
        <v>35</v>
      </c>
      <c r="P20" t="s">
        <v>219</v>
      </c>
      <c r="Q20" s="2" t="s">
        <v>177</v>
      </c>
      <c r="R20" s="2">
        <v>46202</v>
      </c>
    </row>
    <row r="21" spans="1:18" x14ac:dyDescent="0.3">
      <c r="A21" t="s">
        <v>43</v>
      </c>
      <c r="B21" t="str">
        <f>VLOOKUP(A21,[1]!Tabela1[[PLACA]:[STATUS]],2,0)</f>
        <v>OK</v>
      </c>
      <c r="C21" s="2">
        <v>46309</v>
      </c>
      <c r="D21">
        <f t="shared" ca="1" si="0"/>
        <v>-5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184</v>
      </c>
      <c r="K21" t="s">
        <v>32</v>
      </c>
      <c r="L21" t="s">
        <v>33</v>
      </c>
      <c r="M21" t="s">
        <v>29</v>
      </c>
      <c r="N21" t="s">
        <v>34</v>
      </c>
      <c r="O21" t="s">
        <v>35</v>
      </c>
      <c r="P21" t="s">
        <v>219</v>
      </c>
      <c r="Q21" s="2" t="s">
        <v>177</v>
      </c>
      <c r="R21" s="2">
        <v>46202</v>
      </c>
    </row>
    <row r="22" spans="1:18" x14ac:dyDescent="0.3">
      <c r="A22" t="s">
        <v>44</v>
      </c>
      <c r="B22" t="str">
        <f>VLOOKUP(A22,[1]!Tabela1[[PLACA]:[STATUS]],2,0)</f>
        <v>OK</v>
      </c>
      <c r="C22" s="2">
        <v>46309</v>
      </c>
      <c r="D22">
        <f t="shared" ca="1" si="0"/>
        <v>-5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184</v>
      </c>
      <c r="K22" t="s">
        <v>45</v>
      </c>
      <c r="L22" t="s">
        <v>11</v>
      </c>
      <c r="M22" t="s">
        <v>29</v>
      </c>
      <c r="N22" t="s">
        <v>34</v>
      </c>
      <c r="O22" t="s">
        <v>35</v>
      </c>
      <c r="P22" t="s">
        <v>219</v>
      </c>
      <c r="Q22" s="2">
        <v>46190</v>
      </c>
      <c r="R22" s="2">
        <v>46190</v>
      </c>
    </row>
    <row r="23" spans="1:18" x14ac:dyDescent="0.3">
      <c r="A23" t="s">
        <v>46</v>
      </c>
      <c r="B23" t="str">
        <f>VLOOKUP(A23,[1]!Tabela1[[PLACA]:[STATUS]],2,0)</f>
        <v>OK</v>
      </c>
      <c r="C23" s="2">
        <v>46309</v>
      </c>
      <c r="D23">
        <f t="shared" ca="1" si="0"/>
        <v>-5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184</v>
      </c>
      <c r="K23" t="s">
        <v>45</v>
      </c>
      <c r="L23" t="s">
        <v>11</v>
      </c>
      <c r="M23" t="s">
        <v>29</v>
      </c>
      <c r="N23" t="s">
        <v>34</v>
      </c>
      <c r="O23" t="s">
        <v>35</v>
      </c>
      <c r="P23" t="s">
        <v>219</v>
      </c>
      <c r="Q23" s="2">
        <v>46190</v>
      </c>
      <c r="R23" s="2">
        <v>46190</v>
      </c>
    </row>
    <row r="24" spans="1:18" x14ac:dyDescent="0.3">
      <c r="A24" t="s">
        <v>47</v>
      </c>
      <c r="B24" t="str">
        <f>VLOOKUP(A24,[1]!Tabela1[[PLACA]:[STATUS]],2,0)</f>
        <v>OK</v>
      </c>
      <c r="C24" s="2">
        <v>46308</v>
      </c>
      <c r="D24">
        <f t="shared" ca="1" si="0"/>
        <v>-6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184</v>
      </c>
      <c r="K24" t="s">
        <v>45</v>
      </c>
      <c r="L24" t="s">
        <v>11</v>
      </c>
      <c r="M24" t="s">
        <v>29</v>
      </c>
      <c r="N24" t="s">
        <v>34</v>
      </c>
      <c r="O24" t="s">
        <v>35</v>
      </c>
      <c r="P24" t="s">
        <v>219</v>
      </c>
      <c r="Q24" s="2">
        <v>46189</v>
      </c>
      <c r="R24" s="2">
        <v>46185</v>
      </c>
    </row>
    <row r="25" spans="1:18" x14ac:dyDescent="0.3">
      <c r="A25" t="s">
        <v>48</v>
      </c>
      <c r="B25" t="str">
        <f>VLOOKUP(A25,[1]!Tabela1[[PLACA]:[STATUS]],2,0)</f>
        <v>OK</v>
      </c>
      <c r="C25" s="2">
        <v>46309</v>
      </c>
      <c r="D25">
        <f t="shared" ca="1" si="0"/>
        <v>-5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184</v>
      </c>
      <c r="K25" t="s">
        <v>45</v>
      </c>
      <c r="L25" t="s">
        <v>11</v>
      </c>
      <c r="M25" t="s">
        <v>29</v>
      </c>
      <c r="N25" t="s">
        <v>34</v>
      </c>
      <c r="O25" t="s">
        <v>35</v>
      </c>
      <c r="P25" t="s">
        <v>219</v>
      </c>
      <c r="Q25" s="2">
        <v>46189</v>
      </c>
      <c r="R25" s="2">
        <v>46185</v>
      </c>
    </row>
    <row r="26" spans="1:18" x14ac:dyDescent="0.3">
      <c r="A26" t="s">
        <v>49</v>
      </c>
      <c r="B26" t="str">
        <f>VLOOKUP(A26,[1]!Tabela1[[PLACA]:[STATUS]],2,0)</f>
        <v>OK</v>
      </c>
      <c r="C26" s="2">
        <v>46308</v>
      </c>
      <c r="D26">
        <f t="shared" ca="1" si="0"/>
        <v>-6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184</v>
      </c>
      <c r="K26" t="s">
        <v>45</v>
      </c>
      <c r="L26" t="s">
        <v>11</v>
      </c>
      <c r="M26" t="s">
        <v>29</v>
      </c>
      <c r="N26" t="s">
        <v>34</v>
      </c>
      <c r="O26" t="s">
        <v>35</v>
      </c>
      <c r="P26" t="s">
        <v>219</v>
      </c>
      <c r="Q26" s="2">
        <v>46189</v>
      </c>
      <c r="R26" s="2">
        <v>46185</v>
      </c>
    </row>
    <row r="27" spans="1:18" x14ac:dyDescent="0.3">
      <c r="A27" t="s">
        <v>50</v>
      </c>
      <c r="B27" t="str">
        <f>VLOOKUP(A27,[1]!Tabela1[[PLACA]:[STATUS]],2,0)</f>
        <v>OK</v>
      </c>
      <c r="C27" s="2">
        <v>46308</v>
      </c>
      <c r="D27">
        <f t="shared" ca="1" si="0"/>
        <v>-6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184</v>
      </c>
      <c r="K27" t="s">
        <v>45</v>
      </c>
      <c r="L27" t="s">
        <v>11</v>
      </c>
      <c r="M27" t="s">
        <v>29</v>
      </c>
      <c r="N27" t="s">
        <v>34</v>
      </c>
      <c r="O27" t="s">
        <v>35</v>
      </c>
      <c r="P27" t="s">
        <v>219</v>
      </c>
      <c r="Q27" s="2">
        <v>46189</v>
      </c>
      <c r="R27" s="2">
        <v>46185</v>
      </c>
    </row>
    <row r="28" spans="1:18" x14ac:dyDescent="0.3">
      <c r="A28" t="s">
        <v>51</v>
      </c>
      <c r="B28" t="str">
        <f>VLOOKUP(A28,[1]!Tabela1[[PLACA]:[STATUS]],2,0)</f>
        <v>OK</v>
      </c>
      <c r="C28" s="2">
        <v>46309</v>
      </c>
      <c r="D28">
        <f t="shared" ca="1" si="0"/>
        <v>-5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184</v>
      </c>
      <c r="K28" t="s">
        <v>45</v>
      </c>
      <c r="L28" t="s">
        <v>11</v>
      </c>
      <c r="M28" t="s">
        <v>29</v>
      </c>
      <c r="N28" t="s">
        <v>34</v>
      </c>
      <c r="O28" t="s">
        <v>35</v>
      </c>
      <c r="P28" t="s">
        <v>219</v>
      </c>
      <c r="Q28" s="2">
        <v>46190</v>
      </c>
      <c r="R28" s="2">
        <v>46190</v>
      </c>
    </row>
    <row r="29" spans="1:18" x14ac:dyDescent="0.3">
      <c r="A29" t="s">
        <v>52</v>
      </c>
      <c r="B29" t="str">
        <f>VLOOKUP(A29,[1]!Tabela1[[PLACA]:[STATUS]],2,0)</f>
        <v>OK</v>
      </c>
      <c r="C29" s="2">
        <v>46309</v>
      </c>
      <c r="D29">
        <f t="shared" ca="1" si="0"/>
        <v>-5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184</v>
      </c>
      <c r="K29" t="s">
        <v>45</v>
      </c>
      <c r="L29" t="s">
        <v>11</v>
      </c>
      <c r="M29" t="s">
        <v>29</v>
      </c>
      <c r="N29" t="s">
        <v>34</v>
      </c>
      <c r="O29" t="s">
        <v>35</v>
      </c>
      <c r="P29" t="s">
        <v>219</v>
      </c>
      <c r="Q29" s="2">
        <v>46190</v>
      </c>
      <c r="R29" s="2">
        <v>46190</v>
      </c>
    </row>
    <row r="30" spans="1:18" x14ac:dyDescent="0.3">
      <c r="A30" t="s">
        <v>53</v>
      </c>
      <c r="B30" t="str">
        <f>VLOOKUP(A30,[1]!Tabela1[[PLACA]:[STATUS]],2,0)</f>
        <v>OK</v>
      </c>
      <c r="C30" s="2">
        <v>46284</v>
      </c>
      <c r="D30">
        <f t="shared" ca="1" si="0"/>
        <v>-30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184</v>
      </c>
      <c r="K30" t="s">
        <v>45</v>
      </c>
      <c r="L30" t="s">
        <v>11</v>
      </c>
      <c r="M30" t="s">
        <v>29</v>
      </c>
      <c r="N30" t="s">
        <v>34</v>
      </c>
      <c r="O30" t="s">
        <v>35</v>
      </c>
      <c r="P30" t="s">
        <v>219</v>
      </c>
      <c r="Q30" s="2">
        <v>46189</v>
      </c>
      <c r="R30" s="2">
        <v>46185</v>
      </c>
    </row>
    <row r="31" spans="1:18" x14ac:dyDescent="0.3">
      <c r="A31" t="s">
        <v>54</v>
      </c>
      <c r="B31" t="str">
        <f>VLOOKUP(A31,[1]!Tabela1[[PLACA]:[STATUS]],2,0)</f>
        <v>OK</v>
      </c>
      <c r="C31" s="2">
        <v>46309</v>
      </c>
      <c r="D31">
        <f t="shared" ca="1" si="0"/>
        <v>-5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184</v>
      </c>
      <c r="K31" t="s">
        <v>45</v>
      </c>
      <c r="L31" t="s">
        <v>11</v>
      </c>
      <c r="M31" t="s">
        <v>29</v>
      </c>
      <c r="N31" t="s">
        <v>34</v>
      </c>
      <c r="O31" t="s">
        <v>35</v>
      </c>
      <c r="P31" t="s">
        <v>219</v>
      </c>
      <c r="Q31" s="2">
        <v>46189</v>
      </c>
      <c r="R31" s="2">
        <v>46185</v>
      </c>
    </row>
    <row r="32" spans="1:18" x14ac:dyDescent="0.3">
      <c r="A32" t="s">
        <v>55</v>
      </c>
      <c r="B32" t="str">
        <f>VLOOKUP(A32,[1]!Tabela1[[PLACA]:[STATUS]],2,0)</f>
        <v>OK</v>
      </c>
      <c r="C32" s="2">
        <v>46309</v>
      </c>
      <c r="D32">
        <f t="shared" ca="1" si="0"/>
        <v>-5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184</v>
      </c>
      <c r="K32" t="s">
        <v>45</v>
      </c>
      <c r="L32" t="s">
        <v>11</v>
      </c>
      <c r="M32" t="s">
        <v>29</v>
      </c>
      <c r="N32" t="s">
        <v>34</v>
      </c>
      <c r="O32" t="s">
        <v>35</v>
      </c>
      <c r="P32" t="s">
        <v>219</v>
      </c>
      <c r="Q32" s="2">
        <v>46190</v>
      </c>
      <c r="R32" s="2">
        <v>46190</v>
      </c>
    </row>
    <row r="33" spans="1:18" x14ac:dyDescent="0.3">
      <c r="A33" t="s">
        <v>56</v>
      </c>
      <c r="B33" t="str">
        <f>VLOOKUP(A33,[1]!Tabela1[[PLACA]:[STATUS]],2,0)</f>
        <v>OK</v>
      </c>
      <c r="C33" s="2">
        <v>46309</v>
      </c>
      <c r="D33">
        <f t="shared" ca="1" si="0"/>
        <v>-5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184</v>
      </c>
      <c r="K33" t="s">
        <v>45</v>
      </c>
      <c r="L33" t="s">
        <v>11</v>
      </c>
      <c r="M33" t="s">
        <v>29</v>
      </c>
      <c r="N33" t="s">
        <v>34</v>
      </c>
      <c r="O33" t="s">
        <v>35</v>
      </c>
      <c r="P33" t="s">
        <v>219</v>
      </c>
      <c r="Q33" s="2">
        <v>46190</v>
      </c>
      <c r="R33" s="2">
        <v>46190</v>
      </c>
    </row>
    <row r="34" spans="1:18" x14ac:dyDescent="0.3">
      <c r="A34" t="s">
        <v>57</v>
      </c>
      <c r="B34" t="str">
        <f>VLOOKUP(A34,[1]!Tabela1[[PLACA]:[STATUS]],2,0)</f>
        <v>OK</v>
      </c>
      <c r="C34" s="2">
        <v>46308</v>
      </c>
      <c r="D34">
        <f t="shared" ca="1" si="0"/>
        <v>-6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184</v>
      </c>
      <c r="K34" t="s">
        <v>45</v>
      </c>
      <c r="L34" t="s">
        <v>11</v>
      </c>
      <c r="M34" t="s">
        <v>29</v>
      </c>
      <c r="N34" t="s">
        <v>34</v>
      </c>
      <c r="O34" t="s">
        <v>35</v>
      </c>
      <c r="P34" t="s">
        <v>219</v>
      </c>
      <c r="Q34" s="2">
        <v>46190</v>
      </c>
      <c r="R34" s="2">
        <v>46190</v>
      </c>
    </row>
    <row r="35" spans="1:18" x14ac:dyDescent="0.3">
      <c r="A35" t="s">
        <v>58</v>
      </c>
      <c r="B35" t="str">
        <f>VLOOKUP(A35,[1]!Tabela1[[PLACA]:[STATUS]],2,0)</f>
        <v>OK</v>
      </c>
      <c r="C35" s="2">
        <v>46309</v>
      </c>
      <c r="D35">
        <f t="shared" ca="1" si="0"/>
        <v>-5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184</v>
      </c>
      <c r="K35" t="s">
        <v>45</v>
      </c>
      <c r="L35" t="s">
        <v>11</v>
      </c>
      <c r="M35" t="s">
        <v>29</v>
      </c>
      <c r="N35" t="s">
        <v>34</v>
      </c>
      <c r="O35" t="s">
        <v>35</v>
      </c>
      <c r="P35" t="s">
        <v>219</v>
      </c>
      <c r="Q35" s="2">
        <v>46190</v>
      </c>
      <c r="R35" s="2">
        <v>46190</v>
      </c>
    </row>
    <row r="36" spans="1:18" x14ac:dyDescent="0.3">
      <c r="A36" t="s">
        <v>59</v>
      </c>
      <c r="B36" t="str">
        <f>VLOOKUP(A36,[1]!Tabela1[[PLACA]:[STATUS]],2,0)</f>
        <v>OK</v>
      </c>
      <c r="C36" s="2">
        <v>46309</v>
      </c>
      <c r="D36">
        <f t="shared" ca="1" si="0"/>
        <v>-5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184</v>
      </c>
      <c r="K36" t="s">
        <v>45</v>
      </c>
      <c r="L36" t="s">
        <v>11</v>
      </c>
      <c r="M36" t="s">
        <v>29</v>
      </c>
      <c r="N36" t="s">
        <v>34</v>
      </c>
      <c r="O36" t="s">
        <v>35</v>
      </c>
      <c r="P36" t="s">
        <v>219</v>
      </c>
      <c r="Q36" s="2">
        <v>46190</v>
      </c>
      <c r="R36" s="2">
        <v>46190</v>
      </c>
    </row>
    <row r="37" spans="1:18" x14ac:dyDescent="0.3">
      <c r="A37" t="s">
        <v>60</v>
      </c>
      <c r="B37" t="str">
        <f>VLOOKUP(A37,[1]!Tabela1[[PLACA]:[STATUS]],2,0)</f>
        <v>OK</v>
      </c>
      <c r="C37" s="2">
        <v>46266</v>
      </c>
      <c r="D37">
        <f t="shared" ca="1" si="0"/>
        <v>-48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184</v>
      </c>
      <c r="K37" t="s">
        <v>61</v>
      </c>
      <c r="L37" t="s">
        <v>11</v>
      </c>
      <c r="M37" t="s">
        <v>29</v>
      </c>
      <c r="N37" t="s">
        <v>34</v>
      </c>
      <c r="O37" t="s">
        <v>35</v>
      </c>
      <c r="P37" t="s">
        <v>219</v>
      </c>
      <c r="Q37" s="2">
        <v>46209</v>
      </c>
      <c r="R37" s="2">
        <v>46209</v>
      </c>
    </row>
    <row r="38" spans="1:18" x14ac:dyDescent="0.3">
      <c r="A38" t="s">
        <v>62</v>
      </c>
      <c r="B38" t="str">
        <f>VLOOKUP(A38,[1]!Tabela1[[PLACA]:[STATUS]],2,0)</f>
        <v>OK</v>
      </c>
      <c r="C38" s="2">
        <v>46309</v>
      </c>
      <c r="D38">
        <f t="shared" ca="1" si="0"/>
        <v>-5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184</v>
      </c>
      <c r="K38" t="s">
        <v>61</v>
      </c>
      <c r="L38" t="s">
        <v>11</v>
      </c>
      <c r="M38" t="s">
        <v>29</v>
      </c>
      <c r="N38" t="s">
        <v>34</v>
      </c>
      <c r="O38" t="s">
        <v>35</v>
      </c>
      <c r="P38" t="s">
        <v>219</v>
      </c>
      <c r="Q38" s="2">
        <v>46211</v>
      </c>
      <c r="R38" s="2">
        <v>46211</v>
      </c>
    </row>
    <row r="39" spans="1:18" x14ac:dyDescent="0.3">
      <c r="A39" t="s">
        <v>63</v>
      </c>
      <c r="B39" t="str">
        <f>VLOOKUP(A39,[1]!Tabela1[[PLACA]:[STATUS]],2,0)</f>
        <v>OK</v>
      </c>
      <c r="C39" s="2">
        <v>46309</v>
      </c>
      <c r="D39">
        <f t="shared" ca="1" si="0"/>
        <v>-5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184</v>
      </c>
      <c r="K39" t="s">
        <v>61</v>
      </c>
      <c r="L39" t="s">
        <v>11</v>
      </c>
      <c r="M39" t="s">
        <v>29</v>
      </c>
      <c r="N39" t="s">
        <v>34</v>
      </c>
      <c r="O39" t="s">
        <v>35</v>
      </c>
      <c r="P39" t="s">
        <v>219</v>
      </c>
      <c r="Q39" s="2">
        <v>46209</v>
      </c>
      <c r="R39" s="2">
        <v>46209</v>
      </c>
    </row>
    <row r="40" spans="1:18" x14ac:dyDescent="0.3">
      <c r="A40" t="s">
        <v>64</v>
      </c>
      <c r="B40" t="str">
        <f>VLOOKUP(A40,[1]!Tabela1[[PLACA]:[STATUS]],2,0)</f>
        <v>OK</v>
      </c>
      <c r="C40" s="2">
        <v>46304</v>
      </c>
      <c r="D40">
        <f t="shared" ca="1" si="0"/>
        <v>-10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184</v>
      </c>
      <c r="K40" t="s">
        <v>61</v>
      </c>
      <c r="L40" t="s">
        <v>11</v>
      </c>
      <c r="M40" t="s">
        <v>29</v>
      </c>
      <c r="N40" t="s">
        <v>34</v>
      </c>
      <c r="O40" t="s">
        <v>35</v>
      </c>
      <c r="P40" t="s">
        <v>219</v>
      </c>
      <c r="Q40" s="2">
        <v>46210</v>
      </c>
      <c r="R40" s="2">
        <v>46209</v>
      </c>
    </row>
    <row r="41" spans="1:18" x14ac:dyDescent="0.3">
      <c r="A41" t="s">
        <v>65</v>
      </c>
      <c r="B41" t="str">
        <f>VLOOKUP(A41,[1]!Tabela1[[PLACA]:[STATUS]],2,0)</f>
        <v>OK</v>
      </c>
      <c r="C41" s="2">
        <v>46309</v>
      </c>
      <c r="D41">
        <f t="shared" ca="1" si="0"/>
        <v>-5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184</v>
      </c>
      <c r="K41" t="s">
        <v>61</v>
      </c>
      <c r="L41" t="s">
        <v>11</v>
      </c>
      <c r="M41" t="s">
        <v>29</v>
      </c>
      <c r="N41" t="s">
        <v>34</v>
      </c>
      <c r="O41" t="s">
        <v>35</v>
      </c>
      <c r="P41" t="s">
        <v>219</v>
      </c>
      <c r="Q41" s="2" t="s">
        <v>177</v>
      </c>
      <c r="R41" s="2">
        <v>46205</v>
      </c>
    </row>
    <row r="42" spans="1:18" x14ac:dyDescent="0.3">
      <c r="A42" t="s">
        <v>66</v>
      </c>
      <c r="B42" t="str">
        <f>VLOOKUP(A42,[1]!Tabela1[[PLACA]:[STATUS]],2,0)</f>
        <v>OK</v>
      </c>
      <c r="C42" s="2">
        <v>46309</v>
      </c>
      <c r="D42">
        <f t="shared" ca="1" si="0"/>
        <v>-5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184</v>
      </c>
      <c r="K42" t="s">
        <v>61</v>
      </c>
      <c r="L42" t="s">
        <v>11</v>
      </c>
      <c r="M42" t="s">
        <v>29</v>
      </c>
      <c r="N42" t="s">
        <v>34</v>
      </c>
      <c r="O42" t="s">
        <v>35</v>
      </c>
      <c r="P42" t="s">
        <v>219</v>
      </c>
      <c r="Q42" s="2">
        <v>46209</v>
      </c>
      <c r="R42" s="2">
        <v>46209</v>
      </c>
    </row>
    <row r="43" spans="1:18" x14ac:dyDescent="0.3">
      <c r="A43" t="s">
        <v>67</v>
      </c>
      <c r="B43" t="str">
        <f>VLOOKUP(A43,[1]!Tabela1[[PLACA]:[STATUS]],2,0)</f>
        <v>OK</v>
      </c>
      <c r="C43" s="2">
        <v>46309</v>
      </c>
      <c r="D43">
        <f t="shared" ca="1" si="0"/>
        <v>-5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184</v>
      </c>
      <c r="K43" t="s">
        <v>61</v>
      </c>
      <c r="L43" t="s">
        <v>11</v>
      </c>
      <c r="M43" t="s">
        <v>29</v>
      </c>
      <c r="N43" t="s">
        <v>34</v>
      </c>
      <c r="O43" t="s">
        <v>35</v>
      </c>
      <c r="P43" t="s">
        <v>219</v>
      </c>
      <c r="Q43" s="2">
        <v>46209</v>
      </c>
      <c r="R43" s="2">
        <v>46209</v>
      </c>
    </row>
    <row r="44" spans="1:18" x14ac:dyDescent="0.3">
      <c r="A44" t="s">
        <v>68</v>
      </c>
      <c r="B44" t="str">
        <f>VLOOKUP(A44,[1]!Tabela1[[PLACA]:[STATUS]],2,0)</f>
        <v>OK</v>
      </c>
      <c r="C44" s="2">
        <v>46308</v>
      </c>
      <c r="D44">
        <f t="shared" ca="1" si="0"/>
        <v>-6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184</v>
      </c>
      <c r="K44" t="s">
        <v>61</v>
      </c>
      <c r="L44" t="s">
        <v>11</v>
      </c>
      <c r="M44" t="s">
        <v>29</v>
      </c>
      <c r="N44" t="s">
        <v>34</v>
      </c>
      <c r="O44" t="s">
        <v>35</v>
      </c>
      <c r="P44" t="s">
        <v>219</v>
      </c>
      <c r="Q44" s="2" t="s">
        <v>177</v>
      </c>
      <c r="R44" s="2">
        <v>46205</v>
      </c>
    </row>
    <row r="45" spans="1:18" x14ac:dyDescent="0.3">
      <c r="A45" t="s">
        <v>69</v>
      </c>
      <c r="B45" t="str">
        <f>VLOOKUP(A45,[1]!Tabela1[[PLACA]:[STATUS]],2,0)</f>
        <v>OK</v>
      </c>
      <c r="C45" s="2">
        <v>46309</v>
      </c>
      <c r="D45">
        <f t="shared" ca="1" si="0"/>
        <v>-5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184</v>
      </c>
      <c r="K45" t="s">
        <v>61</v>
      </c>
      <c r="L45" t="s">
        <v>11</v>
      </c>
      <c r="M45" t="s">
        <v>29</v>
      </c>
      <c r="N45" t="s">
        <v>34</v>
      </c>
      <c r="O45" t="s">
        <v>35</v>
      </c>
      <c r="P45" t="s">
        <v>219</v>
      </c>
      <c r="Q45" s="2">
        <v>46211</v>
      </c>
      <c r="R45" s="2">
        <v>46211</v>
      </c>
    </row>
    <row r="46" spans="1:18" x14ac:dyDescent="0.3">
      <c r="A46" t="s">
        <v>70</v>
      </c>
      <c r="B46" t="str">
        <f>VLOOKUP(A46,[1]!Tabela1[[PLACA]:[STATUS]],2,0)</f>
        <v>OK</v>
      </c>
      <c r="C46" s="2">
        <v>46308</v>
      </c>
      <c r="D46">
        <f t="shared" ca="1" si="0"/>
        <v>-6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184</v>
      </c>
      <c r="K46" t="s">
        <v>61</v>
      </c>
      <c r="L46" t="s">
        <v>11</v>
      </c>
      <c r="M46" t="s">
        <v>29</v>
      </c>
      <c r="N46" t="s">
        <v>34</v>
      </c>
      <c r="O46" t="s">
        <v>35</v>
      </c>
      <c r="P46" t="s">
        <v>219</v>
      </c>
      <c r="Q46" s="2">
        <v>46211</v>
      </c>
      <c r="R46" s="2">
        <v>46211</v>
      </c>
    </row>
    <row r="47" spans="1:18" x14ac:dyDescent="0.3">
      <c r="A47" t="s">
        <v>71</v>
      </c>
      <c r="B47" t="str">
        <f>VLOOKUP(A47,[1]!Tabela1[[PLACA]:[STATUS]],2,0)</f>
        <v>OK</v>
      </c>
      <c r="C47" s="2">
        <v>46309</v>
      </c>
      <c r="D47">
        <f t="shared" ca="1" si="0"/>
        <v>-5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184</v>
      </c>
      <c r="K47" t="s">
        <v>61</v>
      </c>
      <c r="L47" t="s">
        <v>11</v>
      </c>
      <c r="M47" t="s">
        <v>29</v>
      </c>
      <c r="N47" t="s">
        <v>34</v>
      </c>
      <c r="O47" t="s">
        <v>35</v>
      </c>
      <c r="P47" t="s">
        <v>219</v>
      </c>
      <c r="Q47" s="2">
        <v>46211</v>
      </c>
      <c r="R47" s="2">
        <v>46211</v>
      </c>
    </row>
    <row r="48" spans="1:18" x14ac:dyDescent="0.3">
      <c r="A48" t="s">
        <v>72</v>
      </c>
      <c r="B48" t="str">
        <f>VLOOKUP(A48,[1]!Tabela1[[PLACA]:[STATUS]],2,0)</f>
        <v>OK</v>
      </c>
      <c r="C48" s="2">
        <v>46307</v>
      </c>
      <c r="D48">
        <f t="shared" ca="1" si="0"/>
        <v>-7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184</v>
      </c>
      <c r="K48" t="s">
        <v>61</v>
      </c>
      <c r="L48" t="s">
        <v>11</v>
      </c>
      <c r="M48" t="s">
        <v>29</v>
      </c>
      <c r="N48" t="s">
        <v>34</v>
      </c>
      <c r="O48" t="s">
        <v>35</v>
      </c>
      <c r="P48" t="s">
        <v>219</v>
      </c>
      <c r="Q48" s="2" t="s">
        <v>177</v>
      </c>
      <c r="R48" s="2">
        <v>46205</v>
      </c>
    </row>
    <row r="49" spans="1:18" x14ac:dyDescent="0.3">
      <c r="A49" t="s">
        <v>73</v>
      </c>
      <c r="B49" t="str">
        <f>VLOOKUP(A49,[1]!Tabela1[[PLACA]:[STATUS]],2,0)</f>
        <v>OK</v>
      </c>
      <c r="C49" s="2">
        <v>46309</v>
      </c>
      <c r="D49">
        <f t="shared" ca="1" si="0"/>
        <v>-5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184</v>
      </c>
      <c r="K49" t="s">
        <v>61</v>
      </c>
      <c r="L49" t="s">
        <v>11</v>
      </c>
      <c r="M49" t="s">
        <v>29</v>
      </c>
      <c r="N49" t="s">
        <v>34</v>
      </c>
      <c r="O49" t="s">
        <v>35</v>
      </c>
      <c r="P49" t="s">
        <v>219</v>
      </c>
      <c r="Q49" s="2">
        <v>46217</v>
      </c>
      <c r="R49" s="2">
        <v>46218</v>
      </c>
    </row>
    <row r="50" spans="1:18" x14ac:dyDescent="0.3">
      <c r="A50" t="s">
        <v>74</v>
      </c>
      <c r="B50" t="str">
        <f>VLOOKUP(A50,[1]!Tabela1[[PLACA]:[STATUS]],2,0)</f>
        <v>OK</v>
      </c>
      <c r="C50" s="2">
        <v>46309</v>
      </c>
      <c r="D50">
        <f t="shared" ca="1" si="0"/>
        <v>-5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184</v>
      </c>
      <c r="K50" t="s">
        <v>10</v>
      </c>
      <c r="L50" t="s">
        <v>11</v>
      </c>
      <c r="M50" t="s">
        <v>29</v>
      </c>
      <c r="N50" t="s">
        <v>34</v>
      </c>
      <c r="O50" t="s">
        <v>35</v>
      </c>
      <c r="P50" t="s">
        <v>219</v>
      </c>
      <c r="Q50" s="2">
        <v>46190</v>
      </c>
      <c r="R50" s="2">
        <v>46190</v>
      </c>
    </row>
    <row r="51" spans="1:18" x14ac:dyDescent="0.3">
      <c r="A51" t="s">
        <v>75</v>
      </c>
      <c r="B51" t="str">
        <f>VLOOKUP(A51,[1]!Tabela1[[PLACA]:[STATUS]],2,0)</f>
        <v>OK</v>
      </c>
      <c r="C51" s="2">
        <v>46309</v>
      </c>
      <c r="D51">
        <f t="shared" ca="1" si="0"/>
        <v>-5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184</v>
      </c>
      <c r="K51" t="s">
        <v>10</v>
      </c>
      <c r="L51" t="s">
        <v>11</v>
      </c>
      <c r="M51" t="s">
        <v>29</v>
      </c>
      <c r="N51" t="s">
        <v>34</v>
      </c>
      <c r="O51" t="s">
        <v>35</v>
      </c>
      <c r="P51" t="s">
        <v>219</v>
      </c>
      <c r="Q51" s="2">
        <v>46190</v>
      </c>
      <c r="R51" s="2">
        <v>46190</v>
      </c>
    </row>
    <row r="52" spans="1:18" x14ac:dyDescent="0.3">
      <c r="A52" t="s">
        <v>76</v>
      </c>
      <c r="B52" t="str">
        <f>VLOOKUP(A52,[1]!Tabela1[[PLACA]:[STATUS]],2,0)</f>
        <v>OK</v>
      </c>
      <c r="C52" s="2">
        <v>46309</v>
      </c>
      <c r="D52">
        <f t="shared" ca="1" si="0"/>
        <v>-5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184</v>
      </c>
      <c r="K52" t="s">
        <v>10</v>
      </c>
      <c r="L52" t="s">
        <v>11</v>
      </c>
      <c r="M52" t="s">
        <v>29</v>
      </c>
      <c r="N52" t="s">
        <v>34</v>
      </c>
      <c r="O52" t="s">
        <v>35</v>
      </c>
      <c r="P52" t="s">
        <v>219</v>
      </c>
      <c r="Q52" s="2">
        <v>46190</v>
      </c>
      <c r="R52" s="2">
        <v>46190</v>
      </c>
    </row>
    <row r="53" spans="1:18" x14ac:dyDescent="0.3">
      <c r="A53" t="s">
        <v>77</v>
      </c>
      <c r="B53" t="str">
        <f>VLOOKUP(A53,[1]!Tabela1[[PLACA]:[STATUS]],2,0)</f>
        <v>OK</v>
      </c>
      <c r="C53" s="2">
        <v>46308</v>
      </c>
      <c r="D53">
        <f t="shared" ca="1" si="0"/>
        <v>-6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184</v>
      </c>
      <c r="K53" t="s">
        <v>10</v>
      </c>
      <c r="L53" t="s">
        <v>11</v>
      </c>
      <c r="M53" t="s">
        <v>29</v>
      </c>
      <c r="N53" t="s">
        <v>34</v>
      </c>
      <c r="O53" t="s">
        <v>35</v>
      </c>
      <c r="P53" t="s">
        <v>219</v>
      </c>
      <c r="Q53" s="2">
        <v>46191</v>
      </c>
      <c r="R53" s="2">
        <v>46191</v>
      </c>
    </row>
    <row r="54" spans="1:18" x14ac:dyDescent="0.3">
      <c r="A54" t="s">
        <v>78</v>
      </c>
      <c r="B54" t="str">
        <f>VLOOKUP(A54,[1]!Tabela1[[PLACA]:[STATUS]],2,0)</f>
        <v>OK</v>
      </c>
      <c r="C54" s="2">
        <v>46309</v>
      </c>
      <c r="D54">
        <f t="shared" ca="1" si="0"/>
        <v>-5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184</v>
      </c>
      <c r="K54" t="s">
        <v>10</v>
      </c>
      <c r="L54" t="s">
        <v>11</v>
      </c>
      <c r="M54" t="s">
        <v>29</v>
      </c>
      <c r="N54" t="s">
        <v>34</v>
      </c>
      <c r="O54" t="s">
        <v>35</v>
      </c>
      <c r="P54" t="s">
        <v>219</v>
      </c>
      <c r="Q54" s="2">
        <v>46191</v>
      </c>
      <c r="R54" s="2">
        <v>46191</v>
      </c>
    </row>
    <row r="55" spans="1:18" x14ac:dyDescent="0.3">
      <c r="A55" t="s">
        <v>79</v>
      </c>
      <c r="B55" t="str">
        <f>VLOOKUP(A55,[1]!Tabela1[[PLACA]:[STATUS]],2,0)</f>
        <v>OK</v>
      </c>
      <c r="C55" s="2">
        <v>46309</v>
      </c>
      <c r="D55">
        <f t="shared" ca="1" si="0"/>
        <v>-5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184</v>
      </c>
      <c r="K55" t="s">
        <v>10</v>
      </c>
      <c r="L55" t="s">
        <v>11</v>
      </c>
      <c r="M55" t="s">
        <v>29</v>
      </c>
      <c r="N55" t="s">
        <v>34</v>
      </c>
      <c r="O55" t="s">
        <v>35</v>
      </c>
      <c r="P55" t="s">
        <v>219</v>
      </c>
      <c r="Q55" s="2">
        <v>46190</v>
      </c>
      <c r="R55" s="2">
        <v>46190</v>
      </c>
    </row>
    <row r="56" spans="1:18" x14ac:dyDescent="0.3">
      <c r="A56" t="s">
        <v>80</v>
      </c>
      <c r="B56" t="str">
        <f>VLOOKUP(A56,[1]!Tabela1[[PLACA]:[STATUS]],2,0)</f>
        <v>OK</v>
      </c>
      <c r="C56" s="2">
        <v>46296</v>
      </c>
      <c r="D56">
        <f t="shared" ca="1" si="0"/>
        <v>-18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184</v>
      </c>
      <c r="K56" t="s">
        <v>10</v>
      </c>
      <c r="L56" t="s">
        <v>11</v>
      </c>
      <c r="M56" t="s">
        <v>29</v>
      </c>
      <c r="N56" t="s">
        <v>34</v>
      </c>
      <c r="O56" t="s">
        <v>35</v>
      </c>
      <c r="P56" t="s">
        <v>219</v>
      </c>
      <c r="Q56" s="2">
        <v>46191</v>
      </c>
      <c r="R56" s="2">
        <v>46191</v>
      </c>
    </row>
    <row r="57" spans="1:18" x14ac:dyDescent="0.3">
      <c r="A57" t="s">
        <v>81</v>
      </c>
      <c r="B57" t="str">
        <f>VLOOKUP(A57,[1]!Tabela1[[PLACA]:[STATUS]],2,0)</f>
        <v>OK</v>
      </c>
      <c r="C57" s="2">
        <v>46302</v>
      </c>
      <c r="D57">
        <f t="shared" ca="1" si="0"/>
        <v>-12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184</v>
      </c>
      <c r="K57" t="s">
        <v>10</v>
      </c>
      <c r="L57" t="s">
        <v>11</v>
      </c>
      <c r="M57" t="s">
        <v>29</v>
      </c>
      <c r="N57" t="s">
        <v>34</v>
      </c>
      <c r="O57" t="s">
        <v>35</v>
      </c>
      <c r="P57" t="s">
        <v>219</v>
      </c>
      <c r="Q57" s="2">
        <v>46191</v>
      </c>
      <c r="R57" s="2">
        <v>46191</v>
      </c>
    </row>
    <row r="58" spans="1:18" x14ac:dyDescent="0.3">
      <c r="A58" t="s">
        <v>82</v>
      </c>
      <c r="B58" t="str">
        <f>VLOOKUP(A58,[1]!Tabela1[[PLACA]:[STATUS]],2,0)</f>
        <v>OK</v>
      </c>
      <c r="C58" s="2">
        <v>46309</v>
      </c>
      <c r="D58">
        <f t="shared" ca="1" si="0"/>
        <v>-5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184</v>
      </c>
      <c r="K58" t="s">
        <v>10</v>
      </c>
      <c r="L58" t="s">
        <v>11</v>
      </c>
      <c r="M58" t="s">
        <v>29</v>
      </c>
      <c r="N58" t="s">
        <v>34</v>
      </c>
      <c r="O58" t="s">
        <v>35</v>
      </c>
      <c r="P58" t="s">
        <v>219</v>
      </c>
      <c r="Q58" s="2">
        <v>46193</v>
      </c>
      <c r="R58" s="2">
        <v>46193</v>
      </c>
    </row>
    <row r="59" spans="1:18" x14ac:dyDescent="0.3">
      <c r="A59" t="s">
        <v>83</v>
      </c>
      <c r="B59" t="str">
        <f>VLOOKUP(A59,[1]!Tabela1[[PLACA]:[STATUS]],2,0)</f>
        <v>OK</v>
      </c>
      <c r="C59" s="2">
        <v>46309</v>
      </c>
      <c r="D59">
        <f t="shared" ca="1" si="0"/>
        <v>-5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184</v>
      </c>
      <c r="K59" t="s">
        <v>10</v>
      </c>
      <c r="L59" t="s">
        <v>11</v>
      </c>
      <c r="M59" t="s">
        <v>29</v>
      </c>
      <c r="N59" t="s">
        <v>34</v>
      </c>
      <c r="O59" t="s">
        <v>35</v>
      </c>
      <c r="P59" t="s">
        <v>219</v>
      </c>
      <c r="Q59" s="2">
        <v>46190</v>
      </c>
      <c r="R59" s="2">
        <v>46190</v>
      </c>
    </row>
    <row r="60" spans="1:18" x14ac:dyDescent="0.3">
      <c r="A60" t="s">
        <v>84</v>
      </c>
      <c r="B60" t="str">
        <f>VLOOKUP(A60,[1]!Tabela1[[PLACA]:[STATUS]],2,0)</f>
        <v>OK</v>
      </c>
      <c r="C60" s="2">
        <v>46309</v>
      </c>
      <c r="D60">
        <f t="shared" ca="1" si="0"/>
        <v>-5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184</v>
      </c>
      <c r="K60" t="s">
        <v>10</v>
      </c>
      <c r="L60" t="s">
        <v>11</v>
      </c>
      <c r="M60" t="s">
        <v>29</v>
      </c>
      <c r="N60" t="s">
        <v>34</v>
      </c>
      <c r="O60" t="s">
        <v>35</v>
      </c>
      <c r="P60" t="s">
        <v>219</v>
      </c>
      <c r="Q60" s="2">
        <v>46191</v>
      </c>
      <c r="R60" s="2">
        <v>46191</v>
      </c>
    </row>
    <row r="61" spans="1:18" x14ac:dyDescent="0.3">
      <c r="A61" t="s">
        <v>85</v>
      </c>
      <c r="B61" t="str">
        <f>VLOOKUP(A61,[1]!Tabela1[[PLACA]:[STATUS]],2,0)</f>
        <v>OK</v>
      </c>
      <c r="C61" s="2">
        <v>46307</v>
      </c>
      <c r="D61">
        <f t="shared" ca="1" si="0"/>
        <v>-7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184</v>
      </c>
      <c r="K61" t="s">
        <v>10</v>
      </c>
      <c r="L61" t="s">
        <v>11</v>
      </c>
      <c r="M61" t="s">
        <v>29</v>
      </c>
      <c r="N61" t="s">
        <v>34</v>
      </c>
      <c r="O61" t="s">
        <v>35</v>
      </c>
      <c r="P61" t="s">
        <v>219</v>
      </c>
      <c r="Q61" s="2">
        <v>46190</v>
      </c>
      <c r="R61" s="2">
        <v>46190</v>
      </c>
    </row>
    <row r="62" spans="1:18" x14ac:dyDescent="0.3">
      <c r="A62" t="s">
        <v>86</v>
      </c>
      <c r="B62" t="str">
        <f>VLOOKUP(A62,[1]!Tabela1[[PLACA]:[STATUS]],2,0)</f>
        <v>OK</v>
      </c>
      <c r="C62" s="2">
        <v>46309</v>
      </c>
      <c r="D62">
        <f t="shared" ca="1" si="0"/>
        <v>-5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184</v>
      </c>
      <c r="K62" t="s">
        <v>10</v>
      </c>
      <c r="L62" t="s">
        <v>11</v>
      </c>
      <c r="M62" t="s">
        <v>29</v>
      </c>
      <c r="N62" t="s">
        <v>34</v>
      </c>
      <c r="O62" t="s">
        <v>35</v>
      </c>
      <c r="P62" t="s">
        <v>219</v>
      </c>
      <c r="Q62" s="2">
        <v>46190</v>
      </c>
      <c r="R62" s="2">
        <v>46190</v>
      </c>
    </row>
    <row r="63" spans="1:18" x14ac:dyDescent="0.3">
      <c r="A63" t="s">
        <v>87</v>
      </c>
      <c r="B63" t="str">
        <f>VLOOKUP(A63,[1]!Tabela1[[PLACA]:[STATUS]],2,0)</f>
        <v>OK</v>
      </c>
      <c r="C63" s="2">
        <v>46305</v>
      </c>
      <c r="D63">
        <f t="shared" ca="1" si="0"/>
        <v>-9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184</v>
      </c>
      <c r="K63" t="s">
        <v>45</v>
      </c>
      <c r="L63" t="s">
        <v>11</v>
      </c>
      <c r="M63" t="s">
        <v>12</v>
      </c>
      <c r="N63" t="s">
        <v>88</v>
      </c>
      <c r="O63" t="s">
        <v>89</v>
      </c>
      <c r="P63" t="s">
        <v>220</v>
      </c>
      <c r="Q63" s="2">
        <v>46171</v>
      </c>
      <c r="R63" s="2">
        <v>46171</v>
      </c>
    </row>
    <row r="64" spans="1:18" x14ac:dyDescent="0.3">
      <c r="A64" t="s">
        <v>90</v>
      </c>
      <c r="B64" t="str">
        <f>VLOOKUP(A64,[1]!Tabela1[[PLACA]:[STATUS]],2,0)</f>
        <v>OK</v>
      </c>
      <c r="C64" s="2">
        <v>46309</v>
      </c>
      <c r="D64">
        <f t="shared" ca="1" si="0"/>
        <v>-5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184</v>
      </c>
      <c r="K64" t="s">
        <v>45</v>
      </c>
      <c r="L64" t="s">
        <v>11</v>
      </c>
      <c r="M64" t="s">
        <v>12</v>
      </c>
      <c r="N64" t="s">
        <v>88</v>
      </c>
      <c r="O64" t="s">
        <v>91</v>
      </c>
      <c r="P64" t="s">
        <v>220</v>
      </c>
      <c r="Q64" s="2">
        <v>46171</v>
      </c>
      <c r="R64" s="2">
        <v>46171</v>
      </c>
    </row>
    <row r="65" spans="1:18" x14ac:dyDescent="0.3">
      <c r="A65" t="s">
        <v>92</v>
      </c>
      <c r="B65" t="str">
        <f>VLOOKUP(A65,[1]!Tabela1[[PLACA]:[STATUS]],2,0)</f>
        <v>OK</v>
      </c>
      <c r="C65" s="2">
        <v>46309</v>
      </c>
      <c r="D65">
        <f t="shared" ca="1" si="0"/>
        <v>-5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184</v>
      </c>
      <c r="K65" t="s">
        <v>45</v>
      </c>
      <c r="L65" t="s">
        <v>11</v>
      </c>
      <c r="M65" t="s">
        <v>12</v>
      </c>
      <c r="N65" t="s">
        <v>88</v>
      </c>
      <c r="O65" t="s">
        <v>89</v>
      </c>
      <c r="P65" t="s">
        <v>220</v>
      </c>
      <c r="Q65" s="2">
        <v>46171</v>
      </c>
      <c r="R65" s="2">
        <v>46171</v>
      </c>
    </row>
    <row r="66" spans="1:18" x14ac:dyDescent="0.3">
      <c r="A66" t="s">
        <v>93</v>
      </c>
      <c r="B66" t="str">
        <f>VLOOKUP(A66,[1]!Tabela1[[PLACA]:[STATUS]],2,0)</f>
        <v>OK</v>
      </c>
      <c r="C66" s="2">
        <v>46290</v>
      </c>
      <c r="D66">
        <f t="shared" ca="1" si="0"/>
        <v>-24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184</v>
      </c>
      <c r="K66" t="s">
        <v>45</v>
      </c>
      <c r="L66" t="s">
        <v>11</v>
      </c>
      <c r="M66" t="s">
        <v>12</v>
      </c>
      <c r="N66" t="s">
        <v>88</v>
      </c>
      <c r="O66" t="s">
        <v>89</v>
      </c>
      <c r="P66" t="s">
        <v>220</v>
      </c>
      <c r="Q66" s="2">
        <v>46170</v>
      </c>
      <c r="R66" s="2">
        <v>46170</v>
      </c>
    </row>
    <row r="67" spans="1:18" x14ac:dyDescent="0.3">
      <c r="A67" t="s">
        <v>94</v>
      </c>
      <c r="B67" t="str">
        <f>VLOOKUP(A67,[1]!Tabela1[[PLACA]:[STATUS]],2,0)</f>
        <v>OK</v>
      </c>
      <c r="C67" s="2">
        <v>46306</v>
      </c>
      <c r="D67">
        <f t="shared" ref="D67:D130" ca="1" si="1">C67-$S$1</f>
        <v>-8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184</v>
      </c>
      <c r="K67" t="s">
        <v>45</v>
      </c>
      <c r="L67" t="s">
        <v>11</v>
      </c>
      <c r="M67" t="s">
        <v>12</v>
      </c>
      <c r="N67" t="s">
        <v>88</v>
      </c>
      <c r="O67" t="s">
        <v>89</v>
      </c>
      <c r="P67" t="s">
        <v>220</v>
      </c>
      <c r="Q67" s="2">
        <v>46171</v>
      </c>
      <c r="R67" s="2">
        <v>46171</v>
      </c>
    </row>
    <row r="68" spans="1:18" x14ac:dyDescent="0.3">
      <c r="A68" t="s">
        <v>95</v>
      </c>
      <c r="B68" t="str">
        <f>VLOOKUP(A68,[1]!Tabela1[[PLACA]:[STATUS]],2,0)</f>
        <v>OK</v>
      </c>
      <c r="C68" s="2">
        <v>46255</v>
      </c>
      <c r="D68">
        <f t="shared" ca="1" si="1"/>
        <v>-59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184</v>
      </c>
      <c r="K68" t="s">
        <v>22</v>
      </c>
      <c r="L68" t="s">
        <v>11</v>
      </c>
      <c r="M68" t="s">
        <v>12</v>
      </c>
      <c r="N68" t="s">
        <v>88</v>
      </c>
      <c r="O68" t="s">
        <v>91</v>
      </c>
      <c r="P68" t="s">
        <v>220</v>
      </c>
      <c r="Q68" s="2">
        <v>46154</v>
      </c>
      <c r="R68" s="2">
        <v>46154</v>
      </c>
    </row>
    <row r="69" spans="1:18" x14ac:dyDescent="0.3">
      <c r="A69" t="s">
        <v>96</v>
      </c>
      <c r="B69" t="str">
        <f>VLOOKUP(A69,[1]!Tabela1[[PLACA]:[STATUS]],2,0)</f>
        <v>OK</v>
      </c>
      <c r="C69" s="2">
        <v>46309</v>
      </c>
      <c r="D69">
        <f t="shared" ca="1" si="1"/>
        <v>-5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184</v>
      </c>
      <c r="K69" t="s">
        <v>22</v>
      </c>
      <c r="L69" t="s">
        <v>11</v>
      </c>
      <c r="M69" t="s">
        <v>12</v>
      </c>
      <c r="N69" t="s">
        <v>88</v>
      </c>
      <c r="O69" t="s">
        <v>91</v>
      </c>
      <c r="P69" t="s">
        <v>220</v>
      </c>
      <c r="Q69" s="2">
        <v>46154</v>
      </c>
      <c r="R69" s="2">
        <v>46154</v>
      </c>
    </row>
    <row r="70" spans="1:18" x14ac:dyDescent="0.3">
      <c r="A70" t="s">
        <v>97</v>
      </c>
      <c r="B70" t="str">
        <f>VLOOKUP(A70,[1]!Tabela1[[PLACA]:[STATUS]],2,0)</f>
        <v>OK</v>
      </c>
      <c r="C70" s="2">
        <v>46309</v>
      </c>
      <c r="D70">
        <f t="shared" ca="1" si="1"/>
        <v>-5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184</v>
      </c>
      <c r="K70" t="s">
        <v>22</v>
      </c>
      <c r="L70" t="s">
        <v>11</v>
      </c>
      <c r="M70" t="s">
        <v>12</v>
      </c>
      <c r="N70" t="s">
        <v>88</v>
      </c>
      <c r="O70" t="s">
        <v>91</v>
      </c>
      <c r="P70" t="s">
        <v>220</v>
      </c>
      <c r="Q70" s="2">
        <v>46154</v>
      </c>
      <c r="R70" s="2">
        <v>46154</v>
      </c>
    </row>
    <row r="71" spans="1:18" x14ac:dyDescent="0.3">
      <c r="A71" t="s">
        <v>98</v>
      </c>
      <c r="B71" t="str">
        <f>VLOOKUP(A71,[1]!Tabela1[[PLACA]:[STATUS]],2,0)</f>
        <v>OK</v>
      </c>
      <c r="C71" s="2">
        <v>46309</v>
      </c>
      <c r="D71">
        <f t="shared" ca="1" si="1"/>
        <v>-5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184</v>
      </c>
      <c r="K71" t="s">
        <v>22</v>
      </c>
      <c r="L71" t="s">
        <v>11</v>
      </c>
      <c r="M71" t="s">
        <v>12</v>
      </c>
      <c r="N71" t="s">
        <v>88</v>
      </c>
      <c r="O71" t="s">
        <v>91</v>
      </c>
      <c r="P71" t="s">
        <v>220</v>
      </c>
      <c r="Q71" s="2">
        <v>46154</v>
      </c>
      <c r="R71" s="2">
        <v>46154</v>
      </c>
    </row>
    <row r="72" spans="1:18" x14ac:dyDescent="0.3">
      <c r="A72" t="s">
        <v>99</v>
      </c>
      <c r="B72" t="str">
        <f>VLOOKUP(A72,[1]!Tabela1[[PLACA]:[STATUS]],2,0)</f>
        <v>OK</v>
      </c>
      <c r="C72" s="2">
        <v>46272</v>
      </c>
      <c r="D72">
        <f t="shared" ca="1" si="1"/>
        <v>-42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184</v>
      </c>
      <c r="K72" t="s">
        <v>22</v>
      </c>
      <c r="L72" t="s">
        <v>11</v>
      </c>
      <c r="M72" t="s">
        <v>12</v>
      </c>
      <c r="N72" t="s">
        <v>88</v>
      </c>
      <c r="O72" t="s">
        <v>91</v>
      </c>
      <c r="P72" t="s">
        <v>220</v>
      </c>
      <c r="Q72" s="2">
        <v>46154</v>
      </c>
      <c r="R72" s="2">
        <v>46154</v>
      </c>
    </row>
    <row r="73" spans="1:18" x14ac:dyDescent="0.3">
      <c r="A73" t="s">
        <v>100</v>
      </c>
      <c r="B73" t="str">
        <f>VLOOKUP(A73,[1]!Tabela1[[PLACA]:[STATUS]],2,0)</f>
        <v>OK</v>
      </c>
      <c r="C73" s="2">
        <v>46309</v>
      </c>
      <c r="D73">
        <f t="shared" ca="1" si="1"/>
        <v>-5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184</v>
      </c>
      <c r="K73" t="s">
        <v>101</v>
      </c>
      <c r="L73" t="s">
        <v>11</v>
      </c>
      <c r="M73" t="s">
        <v>12</v>
      </c>
      <c r="N73" t="s">
        <v>88</v>
      </c>
      <c r="O73" t="s">
        <v>89</v>
      </c>
      <c r="P73" t="s">
        <v>220</v>
      </c>
      <c r="Q73" s="2">
        <v>46253</v>
      </c>
      <c r="R73" s="2">
        <v>46253</v>
      </c>
    </row>
    <row r="74" spans="1:18" x14ac:dyDescent="0.3">
      <c r="A74" t="s">
        <v>102</v>
      </c>
      <c r="B74" t="str">
        <f>VLOOKUP(A74,[1]!Tabela1[[PLACA]:[STATUS]],2,0)</f>
        <v>OK</v>
      </c>
      <c r="C74" s="2">
        <v>46309</v>
      </c>
      <c r="D74">
        <f t="shared" ca="1" si="1"/>
        <v>-5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184</v>
      </c>
      <c r="K74" t="s">
        <v>101</v>
      </c>
      <c r="L74" t="s">
        <v>11</v>
      </c>
      <c r="M74" t="s">
        <v>12</v>
      </c>
      <c r="N74" t="s">
        <v>88</v>
      </c>
      <c r="O74" t="s">
        <v>89</v>
      </c>
      <c r="P74" t="s">
        <v>220</v>
      </c>
      <c r="Q74" s="2">
        <v>46255</v>
      </c>
      <c r="R74" s="2">
        <v>46255</v>
      </c>
    </row>
    <row r="75" spans="1:18" x14ac:dyDescent="0.3">
      <c r="A75" t="s">
        <v>103</v>
      </c>
      <c r="B75" t="str">
        <f>VLOOKUP(A75,[1]!Tabela1[[PLACA]:[STATUS]],2,0)</f>
        <v>OK</v>
      </c>
      <c r="C75" s="2">
        <v>46309</v>
      </c>
      <c r="D75">
        <f t="shared" ca="1" si="1"/>
        <v>-5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184</v>
      </c>
      <c r="K75" t="s">
        <v>101</v>
      </c>
      <c r="L75" t="s">
        <v>11</v>
      </c>
      <c r="M75" t="s">
        <v>12</v>
      </c>
      <c r="N75" t="s">
        <v>88</v>
      </c>
      <c r="O75" t="s">
        <v>89</v>
      </c>
      <c r="P75" t="s">
        <v>220</v>
      </c>
      <c r="Q75" s="2">
        <v>46255</v>
      </c>
      <c r="R75" s="2">
        <v>46255</v>
      </c>
    </row>
    <row r="76" spans="1:18" x14ac:dyDescent="0.3">
      <c r="A76" t="s">
        <v>104</v>
      </c>
      <c r="B76" t="str">
        <f>VLOOKUP(A76,[1]!Tabela1[[PLACA]:[STATUS]],2,0)</f>
        <v>OK</v>
      </c>
      <c r="C76" s="2">
        <v>46309</v>
      </c>
      <c r="D76">
        <f t="shared" ca="1" si="1"/>
        <v>-5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184</v>
      </c>
      <c r="K76" t="s">
        <v>101</v>
      </c>
      <c r="L76" t="s">
        <v>11</v>
      </c>
      <c r="M76" t="s">
        <v>12</v>
      </c>
      <c r="N76" t="s">
        <v>88</v>
      </c>
      <c r="O76" t="s">
        <v>89</v>
      </c>
      <c r="P76" t="s">
        <v>220</v>
      </c>
      <c r="Q76" s="2">
        <v>46261</v>
      </c>
      <c r="R76" s="2">
        <v>46261</v>
      </c>
    </row>
    <row r="77" spans="1:18" x14ac:dyDescent="0.3">
      <c r="A77" t="s">
        <v>105</v>
      </c>
      <c r="B77" t="str">
        <f>VLOOKUP(A77,[1]!Tabela1[[PLACA]:[STATUS]],2,0)</f>
        <v>OK</v>
      </c>
      <c r="C77" s="2">
        <v>46309</v>
      </c>
      <c r="D77">
        <f t="shared" ca="1" si="1"/>
        <v>-5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184</v>
      </c>
      <c r="K77" t="s">
        <v>101</v>
      </c>
      <c r="L77" t="s">
        <v>11</v>
      </c>
      <c r="M77" t="s">
        <v>12</v>
      </c>
      <c r="N77" t="s">
        <v>88</v>
      </c>
      <c r="O77" t="s">
        <v>89</v>
      </c>
      <c r="P77" t="s">
        <v>220</v>
      </c>
      <c r="Q77" s="2">
        <v>46261</v>
      </c>
      <c r="R77" s="2">
        <v>46261</v>
      </c>
    </row>
    <row r="78" spans="1:18" x14ac:dyDescent="0.3">
      <c r="A78" t="s">
        <v>106</v>
      </c>
      <c r="B78" t="str">
        <f>VLOOKUP(A78,[1]!Tabela1[[PLACA]:[STATUS]],2,0)</f>
        <v>OK</v>
      </c>
      <c r="C78" s="2">
        <v>46288</v>
      </c>
      <c r="D78">
        <f t="shared" ca="1" si="1"/>
        <v>-26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184</v>
      </c>
      <c r="K78" t="s">
        <v>61</v>
      </c>
      <c r="L78" t="s">
        <v>11</v>
      </c>
      <c r="M78" t="s">
        <v>12</v>
      </c>
      <c r="N78" t="s">
        <v>88</v>
      </c>
      <c r="O78" t="s">
        <v>89</v>
      </c>
      <c r="P78" t="s">
        <v>220</v>
      </c>
      <c r="Q78" s="2">
        <v>46254</v>
      </c>
      <c r="R78" s="2">
        <v>46254</v>
      </c>
    </row>
    <row r="79" spans="1:18" x14ac:dyDescent="0.3">
      <c r="A79" t="s">
        <v>107</v>
      </c>
      <c r="B79" t="e">
        <f>VLOOKUP(A79,[1]!Tabela1[[PLACA]:[STATUS]],2,0)</f>
        <v>#N/A</v>
      </c>
      <c r="C79" s="2" t="e">
        <v>#N/A</v>
      </c>
      <c r="D79" t="e">
        <f t="shared" ca="1" si="1"/>
        <v>#N/A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184</v>
      </c>
      <c r="K79" t="s">
        <v>61</v>
      </c>
      <c r="L79" t="s">
        <v>11</v>
      </c>
      <c r="M79" t="s">
        <v>12</v>
      </c>
      <c r="N79" t="s">
        <v>88</v>
      </c>
      <c r="O79" t="s">
        <v>89</v>
      </c>
      <c r="P79" t="s">
        <v>220</v>
      </c>
      <c r="Q79" s="2">
        <v>46261</v>
      </c>
      <c r="R79" s="2">
        <v>46261</v>
      </c>
    </row>
    <row r="80" spans="1:18" x14ac:dyDescent="0.3">
      <c r="A80" t="s">
        <v>108</v>
      </c>
      <c r="B80" t="str">
        <f>VLOOKUP(A80,[1]!Tabela1[[PLACA]:[STATUS]],2,0)</f>
        <v>OK</v>
      </c>
      <c r="C80" s="2">
        <v>46309</v>
      </c>
      <c r="D80">
        <f t="shared" ca="1" si="1"/>
        <v>-5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184</v>
      </c>
      <c r="K80" t="s">
        <v>61</v>
      </c>
      <c r="L80" t="s">
        <v>11</v>
      </c>
      <c r="M80" t="s">
        <v>12</v>
      </c>
      <c r="N80" t="s">
        <v>88</v>
      </c>
      <c r="O80" t="s">
        <v>89</v>
      </c>
      <c r="P80" t="s">
        <v>220</v>
      </c>
      <c r="Q80" s="2">
        <v>46269</v>
      </c>
      <c r="R80" s="2">
        <v>46269</v>
      </c>
    </row>
    <row r="81" spans="1:18" x14ac:dyDescent="0.3">
      <c r="A81" t="s">
        <v>109</v>
      </c>
      <c r="B81" t="e">
        <f>VLOOKUP(A81,[1]!Tabela1[[PLACA]:[STATUS]],2,0)</f>
        <v>#N/A</v>
      </c>
      <c r="C81" s="2" t="e">
        <v>#N/A</v>
      </c>
      <c r="D81" t="e">
        <f t="shared" ca="1" si="1"/>
        <v>#N/A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184</v>
      </c>
      <c r="K81" t="s">
        <v>61</v>
      </c>
      <c r="L81" t="s">
        <v>11</v>
      </c>
      <c r="M81" t="s">
        <v>12</v>
      </c>
      <c r="N81" t="s">
        <v>88</v>
      </c>
      <c r="O81" t="s">
        <v>89</v>
      </c>
      <c r="P81" t="s">
        <v>220</v>
      </c>
      <c r="Q81" s="2">
        <v>46261</v>
      </c>
      <c r="R81" s="2">
        <v>46261</v>
      </c>
    </row>
    <row r="82" spans="1:18" x14ac:dyDescent="0.3">
      <c r="A82" t="s">
        <v>110</v>
      </c>
      <c r="B82" t="e">
        <f>VLOOKUP(A82,[1]!Tabela1[[PLACA]:[STATUS]],2,0)</f>
        <v>#N/A</v>
      </c>
      <c r="C82" s="2" t="e">
        <v>#N/A</v>
      </c>
      <c r="D82" t="e">
        <f t="shared" ca="1" si="1"/>
        <v>#N/A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184</v>
      </c>
      <c r="K82" t="s">
        <v>61</v>
      </c>
      <c r="L82" t="s">
        <v>11</v>
      </c>
      <c r="M82" t="s">
        <v>12</v>
      </c>
      <c r="N82" t="s">
        <v>88</v>
      </c>
      <c r="O82" t="s">
        <v>89</v>
      </c>
      <c r="P82" t="s">
        <v>220</v>
      </c>
      <c r="Q82" s="2">
        <v>46262</v>
      </c>
      <c r="R82" s="2">
        <v>46262</v>
      </c>
    </row>
    <row r="83" spans="1:18" x14ac:dyDescent="0.3">
      <c r="A83" t="s">
        <v>111</v>
      </c>
      <c r="B83" t="str">
        <f>VLOOKUP(A83,[1]!Tabela1[[PLACA]:[STATUS]],2,0)</f>
        <v>OK</v>
      </c>
      <c r="C83" s="2">
        <v>46309</v>
      </c>
      <c r="D83">
        <f t="shared" ca="1" si="1"/>
        <v>-5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184</v>
      </c>
      <c r="K83" t="s">
        <v>22</v>
      </c>
      <c r="L83" t="s">
        <v>11</v>
      </c>
      <c r="M83" t="s">
        <v>12</v>
      </c>
      <c r="N83" t="s">
        <v>88</v>
      </c>
      <c r="O83" t="s">
        <v>89</v>
      </c>
      <c r="P83" t="s">
        <v>220</v>
      </c>
      <c r="Q83" s="2">
        <v>46185</v>
      </c>
      <c r="R83" s="2">
        <v>46185</v>
      </c>
    </row>
    <row r="84" spans="1:18" x14ac:dyDescent="0.3">
      <c r="A84" t="s">
        <v>112</v>
      </c>
      <c r="B84" t="str">
        <f>VLOOKUP(A84,[1]!Tabela1[[PLACA]:[STATUS]],2,0)</f>
        <v>OK</v>
      </c>
      <c r="C84" s="2">
        <v>46309</v>
      </c>
      <c r="D84">
        <f t="shared" ca="1" si="1"/>
        <v>-5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184</v>
      </c>
      <c r="K84" t="s">
        <v>22</v>
      </c>
      <c r="L84" t="s">
        <v>11</v>
      </c>
      <c r="M84" t="s">
        <v>12</v>
      </c>
      <c r="N84" t="s">
        <v>88</v>
      </c>
      <c r="O84" t="s">
        <v>89</v>
      </c>
      <c r="P84" t="s">
        <v>220</v>
      </c>
      <c r="Q84" s="2">
        <v>46182</v>
      </c>
      <c r="R84" s="2">
        <v>46181</v>
      </c>
    </row>
    <row r="85" spans="1:18" x14ac:dyDescent="0.3">
      <c r="A85" t="s">
        <v>113</v>
      </c>
      <c r="B85" t="str">
        <f>VLOOKUP(A85,[1]!Tabela1[[PLACA]:[STATUS]],2,0)</f>
        <v>OK</v>
      </c>
      <c r="C85" s="2">
        <v>46309</v>
      </c>
      <c r="D85">
        <f t="shared" ca="1" si="1"/>
        <v>-5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184</v>
      </c>
      <c r="K85" t="s">
        <v>22</v>
      </c>
      <c r="L85" t="s">
        <v>11</v>
      </c>
      <c r="M85" t="s">
        <v>12</v>
      </c>
      <c r="N85" t="s">
        <v>88</v>
      </c>
      <c r="O85" t="s">
        <v>91</v>
      </c>
      <c r="P85" t="s">
        <v>220</v>
      </c>
      <c r="Q85" s="2">
        <v>46185</v>
      </c>
      <c r="R85" s="2">
        <v>46183</v>
      </c>
    </row>
    <row r="86" spans="1:18" x14ac:dyDescent="0.3">
      <c r="A86" t="s">
        <v>114</v>
      </c>
      <c r="B86" t="str">
        <f>VLOOKUP(A86,[1]!Tabela1[[PLACA]:[STATUS]],2,0)</f>
        <v>OK</v>
      </c>
      <c r="C86" s="2">
        <v>46309</v>
      </c>
      <c r="D86">
        <f t="shared" ca="1" si="1"/>
        <v>-5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184</v>
      </c>
      <c r="K86" t="s">
        <v>22</v>
      </c>
      <c r="L86" t="s">
        <v>11</v>
      </c>
      <c r="M86" t="s">
        <v>12</v>
      </c>
      <c r="N86" t="s">
        <v>88</v>
      </c>
      <c r="O86" t="s">
        <v>89</v>
      </c>
      <c r="P86" t="s">
        <v>220</v>
      </c>
      <c r="Q86" s="2">
        <v>46148</v>
      </c>
      <c r="R86" s="2">
        <v>46176</v>
      </c>
    </row>
    <row r="87" spans="1:18" x14ac:dyDescent="0.3">
      <c r="A87" t="s">
        <v>115</v>
      </c>
      <c r="B87" t="e">
        <f>VLOOKUP(A87,[1]!Tabela1[[PLACA]:[STATUS]],2,0)</f>
        <v>#N/A</v>
      </c>
      <c r="C87" s="2" t="e">
        <v>#N/A</v>
      </c>
      <c r="D87" t="e">
        <f t="shared" ca="1" si="1"/>
        <v>#N/A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184</v>
      </c>
      <c r="K87" t="s">
        <v>61</v>
      </c>
      <c r="L87" t="s">
        <v>11</v>
      </c>
      <c r="M87" t="s">
        <v>12</v>
      </c>
      <c r="N87" t="s">
        <v>88</v>
      </c>
      <c r="O87" t="s">
        <v>89</v>
      </c>
      <c r="P87" t="s">
        <v>220</v>
      </c>
      <c r="Q87" s="2">
        <v>46261</v>
      </c>
      <c r="R87" s="2">
        <v>46261</v>
      </c>
    </row>
    <row r="88" spans="1:18" x14ac:dyDescent="0.3">
      <c r="A88" t="s">
        <v>116</v>
      </c>
      <c r="B88" t="str">
        <f>VLOOKUP(A88,[1]!Tabela1[[PLACA]:[STATUS]],2,0)</f>
        <v>OK</v>
      </c>
      <c r="C88" s="2">
        <v>46308</v>
      </c>
      <c r="D88">
        <f t="shared" ca="1" si="1"/>
        <v>-6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184</v>
      </c>
      <c r="K88" t="s">
        <v>22</v>
      </c>
      <c r="L88" t="s">
        <v>11</v>
      </c>
      <c r="M88" t="s">
        <v>12</v>
      </c>
      <c r="N88" t="s">
        <v>88</v>
      </c>
      <c r="O88" t="s">
        <v>89</v>
      </c>
      <c r="P88" t="s">
        <v>220</v>
      </c>
      <c r="Q88" s="2">
        <v>46254</v>
      </c>
      <c r="R88" s="2">
        <v>46254</v>
      </c>
    </row>
    <row r="89" spans="1:18" x14ac:dyDescent="0.3">
      <c r="A89" t="s">
        <v>117</v>
      </c>
      <c r="B89" t="str">
        <f>VLOOKUP(A89,[1]!Tabela1[[PLACA]:[STATUS]],2,0)</f>
        <v>OK</v>
      </c>
      <c r="C89" s="2">
        <v>46309</v>
      </c>
      <c r="D89">
        <f t="shared" ca="1" si="1"/>
        <v>-5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184</v>
      </c>
      <c r="K89" t="s">
        <v>118</v>
      </c>
      <c r="L89" t="s">
        <v>33</v>
      </c>
      <c r="M89" t="s">
        <v>23</v>
      </c>
      <c r="N89" t="s">
        <v>119</v>
      </c>
      <c r="O89" t="s">
        <v>120</v>
      </c>
      <c r="P89" t="s">
        <v>221</v>
      </c>
      <c r="Q89" s="2">
        <v>46199</v>
      </c>
      <c r="R89" s="2">
        <v>46199</v>
      </c>
    </row>
    <row r="90" spans="1:18" x14ac:dyDescent="0.3">
      <c r="A90" t="s">
        <v>121</v>
      </c>
      <c r="B90" t="str">
        <f>VLOOKUP(A90,[1]!Tabela1[[PLACA]:[STATUS]],2,0)</f>
        <v>OK</v>
      </c>
      <c r="C90" s="2">
        <v>46309</v>
      </c>
      <c r="D90">
        <f t="shared" ca="1" si="1"/>
        <v>-5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184</v>
      </c>
      <c r="K90" t="s">
        <v>118</v>
      </c>
      <c r="L90" t="s">
        <v>33</v>
      </c>
      <c r="M90" t="s">
        <v>23</v>
      </c>
      <c r="N90" t="s">
        <v>119</v>
      </c>
      <c r="O90" t="s">
        <v>120</v>
      </c>
      <c r="P90" t="s">
        <v>221</v>
      </c>
      <c r="Q90" s="2">
        <v>46199</v>
      </c>
      <c r="R90" s="2">
        <v>46199</v>
      </c>
    </row>
    <row r="91" spans="1:18" x14ac:dyDescent="0.3">
      <c r="A91" t="s">
        <v>122</v>
      </c>
      <c r="B91" t="str">
        <f>VLOOKUP(A91,[1]!Tabela1[[PLACA]:[STATUS]],2,0)</f>
        <v>OK</v>
      </c>
      <c r="C91" s="2">
        <v>46309</v>
      </c>
      <c r="D91">
        <f t="shared" ca="1" si="1"/>
        <v>-5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184</v>
      </c>
      <c r="K91" t="s">
        <v>118</v>
      </c>
      <c r="L91" t="s">
        <v>33</v>
      </c>
      <c r="M91" t="s">
        <v>23</v>
      </c>
      <c r="N91" t="s">
        <v>119</v>
      </c>
      <c r="O91" t="s">
        <v>120</v>
      </c>
      <c r="P91" t="s">
        <v>221</v>
      </c>
      <c r="Q91" s="2">
        <v>46184</v>
      </c>
      <c r="R91" s="2">
        <v>46184</v>
      </c>
    </row>
    <row r="92" spans="1:18" x14ac:dyDescent="0.3">
      <c r="A92" t="s">
        <v>123</v>
      </c>
      <c r="B92" t="str">
        <f>VLOOKUP(A92,[1]!Tabela1[[PLACA]:[STATUS]],2,0)</f>
        <v>OK</v>
      </c>
      <c r="C92" s="2">
        <v>46281</v>
      </c>
      <c r="D92">
        <f t="shared" ca="1" si="1"/>
        <v>-33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184</v>
      </c>
      <c r="K92" t="s">
        <v>118</v>
      </c>
      <c r="L92" t="s">
        <v>33</v>
      </c>
      <c r="M92" t="s">
        <v>23</v>
      </c>
      <c r="N92" t="s">
        <v>119</v>
      </c>
      <c r="O92" t="s">
        <v>120</v>
      </c>
      <c r="P92" t="s">
        <v>221</v>
      </c>
      <c r="Q92" s="2">
        <v>46176</v>
      </c>
      <c r="R92" s="2">
        <v>46176</v>
      </c>
    </row>
    <row r="93" spans="1:18" x14ac:dyDescent="0.3">
      <c r="A93" t="s">
        <v>124</v>
      </c>
      <c r="B93" t="str">
        <f>VLOOKUP(A93,[1]!Tabela1[[PLACA]:[STATUS]],2,0)</f>
        <v>OK</v>
      </c>
      <c r="C93" s="2">
        <v>46309</v>
      </c>
      <c r="D93">
        <f t="shared" ca="1" si="1"/>
        <v>-5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184</v>
      </c>
      <c r="K93" t="s">
        <v>10</v>
      </c>
      <c r="L93" t="s">
        <v>11</v>
      </c>
      <c r="M93" t="s">
        <v>23</v>
      </c>
      <c r="N93" t="s">
        <v>119</v>
      </c>
      <c r="O93" t="s">
        <v>120</v>
      </c>
      <c r="P93" t="s">
        <v>221</v>
      </c>
      <c r="Q93" s="2">
        <v>46218</v>
      </c>
      <c r="R93" s="2">
        <v>46218</v>
      </c>
    </row>
    <row r="94" spans="1:18" x14ac:dyDescent="0.3">
      <c r="A94" t="s">
        <v>125</v>
      </c>
      <c r="B94" t="str">
        <f>VLOOKUP(A94,[1]!Tabela1[[PLACA]:[STATUS]],2,0)</f>
        <v>OK</v>
      </c>
      <c r="C94" s="2">
        <v>46309</v>
      </c>
      <c r="D94">
        <f t="shared" ca="1" si="1"/>
        <v>-5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184</v>
      </c>
      <c r="K94" t="s">
        <v>10</v>
      </c>
      <c r="L94" t="s">
        <v>11</v>
      </c>
      <c r="M94" t="s">
        <v>23</v>
      </c>
      <c r="N94" t="s">
        <v>119</v>
      </c>
      <c r="O94" t="s">
        <v>120</v>
      </c>
      <c r="P94" t="s">
        <v>221</v>
      </c>
      <c r="Q94" s="2">
        <v>46218</v>
      </c>
      <c r="R94" s="2">
        <v>46218</v>
      </c>
    </row>
    <row r="95" spans="1:18" x14ac:dyDescent="0.3">
      <c r="A95" t="s">
        <v>126</v>
      </c>
      <c r="B95" t="str">
        <f>VLOOKUP(A95,[1]!Tabela1[[PLACA]:[STATUS]],2,0)</f>
        <v>OK</v>
      </c>
      <c r="C95" s="2">
        <v>46309</v>
      </c>
      <c r="D95">
        <f t="shared" ca="1" si="1"/>
        <v>-5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184</v>
      </c>
      <c r="K95" t="s">
        <v>10</v>
      </c>
      <c r="L95" t="s">
        <v>11</v>
      </c>
      <c r="M95" t="s">
        <v>23</v>
      </c>
      <c r="N95" t="s">
        <v>119</v>
      </c>
      <c r="O95" t="s">
        <v>120</v>
      </c>
      <c r="P95" t="s">
        <v>221</v>
      </c>
      <c r="Q95" s="2">
        <v>46218</v>
      </c>
      <c r="R95" s="2">
        <v>46218</v>
      </c>
    </row>
    <row r="96" spans="1:18" x14ac:dyDescent="0.3">
      <c r="A96" t="s">
        <v>127</v>
      </c>
      <c r="B96" t="str">
        <f>VLOOKUP(A96,[1]!Tabela1[[PLACA]:[STATUS]],2,0)</f>
        <v>OK</v>
      </c>
      <c r="C96" s="2">
        <v>46307</v>
      </c>
      <c r="D96">
        <f t="shared" ca="1" si="1"/>
        <v>-7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184</v>
      </c>
      <c r="K96" t="s">
        <v>10</v>
      </c>
      <c r="L96" t="s">
        <v>11</v>
      </c>
      <c r="M96" t="s">
        <v>23</v>
      </c>
      <c r="N96" t="s">
        <v>119</v>
      </c>
      <c r="O96" t="s">
        <v>120</v>
      </c>
      <c r="P96" t="s">
        <v>221</v>
      </c>
      <c r="Q96" s="2">
        <v>46218</v>
      </c>
      <c r="R96" s="2">
        <v>46218</v>
      </c>
    </row>
    <row r="97" spans="1:18" x14ac:dyDescent="0.3">
      <c r="A97" t="s">
        <v>128</v>
      </c>
      <c r="B97" t="str">
        <f>VLOOKUP(A97,[1]!Tabela1[[PLACA]:[STATUS]],2,0)</f>
        <v>OK</v>
      </c>
      <c r="C97" s="2">
        <v>46309</v>
      </c>
      <c r="D97">
        <f t="shared" ca="1" si="1"/>
        <v>-5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184</v>
      </c>
      <c r="K97" t="s">
        <v>10</v>
      </c>
      <c r="L97" t="s">
        <v>11</v>
      </c>
      <c r="M97" t="s">
        <v>23</v>
      </c>
      <c r="N97" t="s">
        <v>119</v>
      </c>
      <c r="O97" t="s">
        <v>120</v>
      </c>
      <c r="P97" t="s">
        <v>221</v>
      </c>
      <c r="Q97" s="2">
        <v>46218</v>
      </c>
      <c r="R97" s="2">
        <v>46218</v>
      </c>
    </row>
    <row r="98" spans="1:18" x14ac:dyDescent="0.3">
      <c r="A98" t="s">
        <v>129</v>
      </c>
      <c r="B98" t="str">
        <f>VLOOKUP(A98,[1]!Tabela1[[PLACA]:[STATUS]],2,0)</f>
        <v>OK</v>
      </c>
      <c r="C98" s="2">
        <v>46309</v>
      </c>
      <c r="D98">
        <f t="shared" ca="1" si="1"/>
        <v>-5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184</v>
      </c>
      <c r="K98" t="s">
        <v>10</v>
      </c>
      <c r="L98" t="s">
        <v>11</v>
      </c>
      <c r="M98" t="s">
        <v>23</v>
      </c>
      <c r="N98" t="s">
        <v>119</v>
      </c>
      <c r="O98" t="s">
        <v>120</v>
      </c>
      <c r="P98" t="s">
        <v>221</v>
      </c>
      <c r="Q98" s="2">
        <v>46218</v>
      </c>
      <c r="R98" s="2">
        <v>46218</v>
      </c>
    </row>
    <row r="99" spans="1:18" x14ac:dyDescent="0.3">
      <c r="A99" t="s">
        <v>130</v>
      </c>
      <c r="B99" t="str">
        <f>VLOOKUP(A99,[1]!Tabela1[[PLACA]:[STATUS]],2,0)</f>
        <v>OK</v>
      </c>
      <c r="C99" s="2">
        <v>46309</v>
      </c>
      <c r="D99">
        <f t="shared" ca="1" si="1"/>
        <v>-5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184</v>
      </c>
      <c r="K99" t="s">
        <v>118</v>
      </c>
      <c r="L99" t="s">
        <v>33</v>
      </c>
      <c r="M99" t="s">
        <v>23</v>
      </c>
      <c r="N99" t="s">
        <v>119</v>
      </c>
      <c r="O99" t="s">
        <v>120</v>
      </c>
      <c r="P99" t="s">
        <v>221</v>
      </c>
      <c r="Q99" s="2">
        <v>46220</v>
      </c>
      <c r="R99" s="2">
        <v>46227</v>
      </c>
    </row>
    <row r="100" spans="1:18" x14ac:dyDescent="0.3">
      <c r="A100" t="s">
        <v>131</v>
      </c>
      <c r="B100" t="str">
        <f>VLOOKUP(A100,[1]!Tabela1[[PLACA]:[STATUS]],2,0)</f>
        <v>OK</v>
      </c>
      <c r="C100" s="2">
        <v>46309</v>
      </c>
      <c r="D100">
        <f t="shared" ca="1" si="1"/>
        <v>-5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184</v>
      </c>
      <c r="K100" t="s">
        <v>118</v>
      </c>
      <c r="L100" t="s">
        <v>33</v>
      </c>
      <c r="M100" t="s">
        <v>23</v>
      </c>
      <c r="N100" t="s">
        <v>119</v>
      </c>
      <c r="O100" t="s">
        <v>120</v>
      </c>
      <c r="P100" t="s">
        <v>221</v>
      </c>
      <c r="Q100" s="2">
        <v>46220</v>
      </c>
      <c r="R100" s="2">
        <v>46227</v>
      </c>
    </row>
    <row r="101" spans="1:18" x14ac:dyDescent="0.3">
      <c r="A101" t="s">
        <v>132</v>
      </c>
      <c r="B101" t="str">
        <f>VLOOKUP(A101,[1]!Tabela1[[PLACA]:[STATUS]],2,0)</f>
        <v>OK</v>
      </c>
      <c r="C101" s="2">
        <v>46308</v>
      </c>
      <c r="D101">
        <f t="shared" ca="1" si="1"/>
        <v>-6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184</v>
      </c>
      <c r="K101" t="s">
        <v>118</v>
      </c>
      <c r="L101" t="s">
        <v>33</v>
      </c>
      <c r="M101" t="s">
        <v>23</v>
      </c>
      <c r="N101" t="s">
        <v>119</v>
      </c>
      <c r="O101" t="s">
        <v>120</v>
      </c>
      <c r="P101" t="s">
        <v>221</v>
      </c>
      <c r="Q101" s="2">
        <v>46220</v>
      </c>
      <c r="R101" s="2">
        <v>46230</v>
      </c>
    </row>
    <row r="102" spans="1:18" x14ac:dyDescent="0.3">
      <c r="A102" t="s">
        <v>133</v>
      </c>
      <c r="B102" t="str">
        <f>VLOOKUP(A102,[1]!Tabela1[[PLACA]:[STATUS]],2,0)</f>
        <v>OK</v>
      </c>
      <c r="C102" s="2">
        <v>46309</v>
      </c>
      <c r="D102">
        <f t="shared" ca="1" si="1"/>
        <v>-5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184</v>
      </c>
      <c r="K102" t="s">
        <v>118</v>
      </c>
      <c r="L102" t="s">
        <v>33</v>
      </c>
      <c r="M102" t="s">
        <v>23</v>
      </c>
      <c r="N102" t="s">
        <v>119</v>
      </c>
      <c r="O102" t="s">
        <v>120</v>
      </c>
      <c r="P102" t="s">
        <v>221</v>
      </c>
      <c r="Q102" s="2">
        <v>46281</v>
      </c>
      <c r="R102" s="2">
        <v>46289</v>
      </c>
    </row>
    <row r="103" spans="1:18" x14ac:dyDescent="0.3">
      <c r="A103" t="s">
        <v>134</v>
      </c>
      <c r="B103" t="str">
        <f>VLOOKUP(A103,[1]!Tabela1[[PLACA]:[STATUS]],2,0)</f>
        <v>OK</v>
      </c>
      <c r="C103" s="2">
        <v>46309</v>
      </c>
      <c r="D103">
        <f t="shared" ca="1" si="1"/>
        <v>-5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184</v>
      </c>
      <c r="K103" t="s">
        <v>118</v>
      </c>
      <c r="L103" t="s">
        <v>33</v>
      </c>
      <c r="M103" t="s">
        <v>23</v>
      </c>
      <c r="N103" t="s">
        <v>119</v>
      </c>
      <c r="O103" t="s">
        <v>120</v>
      </c>
      <c r="P103" t="s">
        <v>221</v>
      </c>
      <c r="Q103" s="2">
        <v>46276</v>
      </c>
      <c r="R103" s="2">
        <v>46276</v>
      </c>
    </row>
    <row r="104" spans="1:18" x14ac:dyDescent="0.3">
      <c r="A104" t="s">
        <v>135</v>
      </c>
      <c r="B104" t="str">
        <f>VLOOKUP(A104,[1]!Tabela1[[PLACA]:[STATUS]],2,0)</f>
        <v>OK</v>
      </c>
      <c r="C104" s="2">
        <v>46309</v>
      </c>
      <c r="D104">
        <f t="shared" ca="1" si="1"/>
        <v>-5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184</v>
      </c>
      <c r="K104" t="s">
        <v>118</v>
      </c>
      <c r="L104" t="s">
        <v>33</v>
      </c>
      <c r="M104" t="s">
        <v>23</v>
      </c>
      <c r="N104" t="s">
        <v>119</v>
      </c>
      <c r="O104" t="s">
        <v>120</v>
      </c>
      <c r="P104" t="s">
        <v>221</v>
      </c>
      <c r="Q104" s="2">
        <v>46276</v>
      </c>
      <c r="R104" s="2">
        <v>46276</v>
      </c>
    </row>
    <row r="105" spans="1:18" x14ac:dyDescent="0.3">
      <c r="A105" t="s">
        <v>136</v>
      </c>
      <c r="B105" t="str">
        <f>VLOOKUP(A105,[1]!Tabela1[[PLACA]:[STATUS]],2,0)</f>
        <v>OK</v>
      </c>
      <c r="C105" s="2">
        <v>46309</v>
      </c>
      <c r="D105">
        <f t="shared" ca="1" si="1"/>
        <v>-5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184</v>
      </c>
      <c r="K105" t="s">
        <v>118</v>
      </c>
      <c r="L105" t="s">
        <v>33</v>
      </c>
      <c r="M105" t="s">
        <v>23</v>
      </c>
      <c r="N105" t="s">
        <v>119</v>
      </c>
      <c r="O105" t="s">
        <v>120</v>
      </c>
      <c r="P105" t="s">
        <v>221</v>
      </c>
      <c r="Q105" s="2">
        <v>46276</v>
      </c>
      <c r="R105" s="2">
        <v>46276</v>
      </c>
    </row>
    <row r="106" spans="1:18" x14ac:dyDescent="0.3">
      <c r="A106" t="s">
        <v>137</v>
      </c>
      <c r="B106" t="str">
        <f>VLOOKUP(A106,[1]!Tabela1[[PLACA]:[STATUS]],2,0)</f>
        <v>OK</v>
      </c>
      <c r="C106" s="2">
        <v>46309</v>
      </c>
      <c r="D106">
        <f t="shared" ca="1" si="1"/>
        <v>-5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184</v>
      </c>
      <c r="K106" t="s">
        <v>118</v>
      </c>
      <c r="L106" t="s">
        <v>33</v>
      </c>
      <c r="M106" t="s">
        <v>23</v>
      </c>
      <c r="N106" t="s">
        <v>119</v>
      </c>
      <c r="O106" t="s">
        <v>120</v>
      </c>
      <c r="P106" t="s">
        <v>221</v>
      </c>
      <c r="Q106" s="2">
        <v>46276</v>
      </c>
      <c r="R106" s="2">
        <v>46276</v>
      </c>
    </row>
    <row r="107" spans="1:18" x14ac:dyDescent="0.3">
      <c r="A107" t="s">
        <v>138</v>
      </c>
      <c r="B107" t="str">
        <f>VLOOKUP(A107,[1]!Tabela1[[PLACA]:[STATUS]],2,0)</f>
        <v>OK</v>
      </c>
      <c r="C107" s="2">
        <v>46309</v>
      </c>
      <c r="D107">
        <f t="shared" ca="1" si="1"/>
        <v>-5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184</v>
      </c>
      <c r="K107" t="s">
        <v>118</v>
      </c>
      <c r="L107" t="s">
        <v>33</v>
      </c>
      <c r="M107" t="s">
        <v>23</v>
      </c>
      <c r="N107" t="s">
        <v>119</v>
      </c>
      <c r="O107" t="s">
        <v>120</v>
      </c>
      <c r="P107" t="s">
        <v>221</v>
      </c>
      <c r="Q107" s="2">
        <v>46276</v>
      </c>
      <c r="R107" s="2">
        <v>46276</v>
      </c>
    </row>
    <row r="108" spans="1:18" x14ac:dyDescent="0.3">
      <c r="A108" t="s">
        <v>139</v>
      </c>
      <c r="B108" t="str">
        <f>VLOOKUP(A108,[1]!Tabela1[[PLACA]:[STATUS]],2,0)</f>
        <v>OK</v>
      </c>
      <c r="C108" s="2">
        <v>46309</v>
      </c>
      <c r="D108">
        <f t="shared" ca="1" si="1"/>
        <v>-5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184</v>
      </c>
      <c r="K108" t="s">
        <v>118</v>
      </c>
      <c r="L108" t="s">
        <v>33</v>
      </c>
      <c r="M108" t="s">
        <v>23</v>
      </c>
      <c r="N108" t="s">
        <v>119</v>
      </c>
      <c r="O108" t="s">
        <v>120</v>
      </c>
      <c r="P108" t="s">
        <v>221</v>
      </c>
      <c r="Q108" s="2">
        <v>46276</v>
      </c>
      <c r="R108" s="2">
        <v>46276</v>
      </c>
    </row>
    <row r="109" spans="1:18" x14ac:dyDescent="0.3">
      <c r="A109" t="s">
        <v>140</v>
      </c>
      <c r="B109" t="str">
        <f>VLOOKUP(A109,[1]!Tabela1[[PLACA]:[STATUS]],2,0)</f>
        <v>OK</v>
      </c>
      <c r="C109" s="2">
        <v>46309</v>
      </c>
      <c r="D109">
        <f t="shared" ca="1" si="1"/>
        <v>-5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184</v>
      </c>
      <c r="K109" t="s">
        <v>118</v>
      </c>
      <c r="L109" t="s">
        <v>33</v>
      </c>
      <c r="M109" t="s">
        <v>23</v>
      </c>
      <c r="N109" t="s">
        <v>119</v>
      </c>
      <c r="O109" t="s">
        <v>120</v>
      </c>
      <c r="P109" t="s">
        <v>221</v>
      </c>
      <c r="Q109" s="2">
        <v>46276</v>
      </c>
      <c r="R109" s="2">
        <v>46276</v>
      </c>
    </row>
    <row r="110" spans="1:18" x14ac:dyDescent="0.3">
      <c r="A110" t="s">
        <v>141</v>
      </c>
      <c r="B110" t="str">
        <f>VLOOKUP(A110,[1]!Tabela1[[PLACA]:[STATUS]],2,0)</f>
        <v>OK</v>
      </c>
      <c r="C110" s="2">
        <v>46309</v>
      </c>
      <c r="D110">
        <f t="shared" ca="1" si="1"/>
        <v>-5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184</v>
      </c>
      <c r="K110" t="s">
        <v>10</v>
      </c>
      <c r="L110" t="s">
        <v>11</v>
      </c>
      <c r="M110" t="s">
        <v>23</v>
      </c>
      <c r="N110" t="s">
        <v>119</v>
      </c>
      <c r="O110" t="s">
        <v>120</v>
      </c>
      <c r="P110" t="s">
        <v>221</v>
      </c>
      <c r="Q110" s="2">
        <v>46295</v>
      </c>
      <c r="R110" s="2">
        <v>46297</v>
      </c>
    </row>
    <row r="111" spans="1:18" x14ac:dyDescent="0.3">
      <c r="A111" t="s">
        <v>142</v>
      </c>
      <c r="B111" t="str">
        <f>VLOOKUP(A111,[1]!Tabela1[[PLACA]:[STATUS]],2,0)</f>
        <v>OK</v>
      </c>
      <c r="C111" s="2">
        <v>46309</v>
      </c>
      <c r="D111">
        <f t="shared" ca="1" si="1"/>
        <v>-5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184</v>
      </c>
      <c r="K111" t="s">
        <v>28</v>
      </c>
      <c r="L111" t="s">
        <v>11</v>
      </c>
      <c r="M111" t="s">
        <v>29</v>
      </c>
      <c r="N111" t="s">
        <v>24</v>
      </c>
      <c r="O111" t="s">
        <v>30</v>
      </c>
      <c r="P111" t="s">
        <v>218</v>
      </c>
      <c r="Q111" s="2">
        <v>46207</v>
      </c>
      <c r="R111" s="2">
        <v>46206</v>
      </c>
    </row>
    <row r="112" spans="1:18" x14ac:dyDescent="0.3">
      <c r="A112" t="s">
        <v>185</v>
      </c>
      <c r="B112" t="e">
        <f>VLOOKUP(A112,[1]!Tabela1[[PLACA]:[STATUS]],2,0)</f>
        <v>#N/A</v>
      </c>
      <c r="C112" s="2" t="e">
        <v>#N/A</v>
      </c>
      <c r="D112" t="e">
        <f t="shared" ca="1" si="1"/>
        <v>#N/A</v>
      </c>
      <c r="K112" t="s">
        <v>28</v>
      </c>
      <c r="L112" t="s">
        <v>11</v>
      </c>
      <c r="M112" t="s">
        <v>23</v>
      </c>
      <c r="N112" t="s">
        <v>24</v>
      </c>
      <c r="O112" t="s">
        <v>146</v>
      </c>
      <c r="P112" t="s">
        <v>217</v>
      </c>
      <c r="Q112" s="2"/>
      <c r="R112" s="2"/>
    </row>
    <row r="113" spans="1:18" x14ac:dyDescent="0.3">
      <c r="A113" t="s">
        <v>143</v>
      </c>
      <c r="B113" t="str">
        <f>VLOOKUP(A113,[1]!Tabela1[[PLACA]:[STATUS]],2,0)</f>
        <v>OK</v>
      </c>
      <c r="C113" s="2">
        <v>46309</v>
      </c>
      <c r="D113">
        <f t="shared" ca="1" si="1"/>
        <v>-5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184</v>
      </c>
      <c r="K113" t="s">
        <v>28</v>
      </c>
      <c r="L113" t="s">
        <v>11</v>
      </c>
      <c r="M113" t="s">
        <v>29</v>
      </c>
      <c r="N113" t="s">
        <v>24</v>
      </c>
      <c r="O113" t="s">
        <v>30</v>
      </c>
      <c r="P113" t="s">
        <v>218</v>
      </c>
      <c r="Q113" s="2">
        <v>46207</v>
      </c>
      <c r="R113" s="2">
        <v>46206</v>
      </c>
    </row>
    <row r="114" spans="1:18" x14ac:dyDescent="0.3">
      <c r="A114" t="s">
        <v>144</v>
      </c>
      <c r="B114" t="str">
        <f>VLOOKUP(A114,[1]!Tabela1[[PLACA]:[STATUS]],2,0)</f>
        <v>OK</v>
      </c>
      <c r="C114" s="2">
        <v>46309</v>
      </c>
      <c r="D114">
        <f t="shared" ca="1" si="1"/>
        <v>-5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184</v>
      </c>
      <c r="K114" t="s">
        <v>28</v>
      </c>
      <c r="L114" t="s">
        <v>11</v>
      </c>
      <c r="M114" t="s">
        <v>29</v>
      </c>
      <c r="N114" t="s">
        <v>24</v>
      </c>
      <c r="O114" t="s">
        <v>30</v>
      </c>
      <c r="P114" t="s">
        <v>218</v>
      </c>
      <c r="Q114" s="2">
        <v>46207</v>
      </c>
      <c r="R114" s="2">
        <v>46206</v>
      </c>
    </row>
    <row r="115" spans="1:18" x14ac:dyDescent="0.3">
      <c r="A115" t="s">
        <v>145</v>
      </c>
      <c r="B115" t="str">
        <f>VLOOKUP(A115,[1]!Tabela1[[PLACA]:[STATUS]],2,0)</f>
        <v>OK</v>
      </c>
      <c r="C115" s="2">
        <v>46309</v>
      </c>
      <c r="D115">
        <f t="shared" ca="1" si="1"/>
        <v>-5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184</v>
      </c>
      <c r="K115" t="s">
        <v>22</v>
      </c>
      <c r="L115" t="s">
        <v>11</v>
      </c>
      <c r="M115" t="s">
        <v>23</v>
      </c>
      <c r="N115" t="s">
        <v>24</v>
      </c>
      <c r="O115" t="s">
        <v>146</v>
      </c>
      <c r="P115" t="s">
        <v>217</v>
      </c>
      <c r="Q115" s="2">
        <v>46207</v>
      </c>
      <c r="R115" s="2">
        <v>46204</v>
      </c>
    </row>
    <row r="116" spans="1:18" x14ac:dyDescent="0.3">
      <c r="A116" t="s">
        <v>147</v>
      </c>
      <c r="B116" t="str">
        <f>VLOOKUP(A116,[1]!Tabela1[[PLACA]:[STATUS]],2,0)</f>
        <v>OK</v>
      </c>
      <c r="C116" s="2">
        <v>46309</v>
      </c>
      <c r="D116">
        <f t="shared" ca="1" si="1"/>
        <v>-5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184</v>
      </c>
      <c r="K116" t="s">
        <v>22</v>
      </c>
      <c r="L116" t="s">
        <v>11</v>
      </c>
      <c r="M116" t="s">
        <v>23</v>
      </c>
      <c r="N116" t="s">
        <v>24</v>
      </c>
      <c r="O116" t="s">
        <v>146</v>
      </c>
      <c r="P116" t="s">
        <v>217</v>
      </c>
      <c r="Q116" s="2">
        <v>46217</v>
      </c>
      <c r="R116" s="2">
        <v>46214</v>
      </c>
    </row>
    <row r="117" spans="1:18" x14ac:dyDescent="0.3">
      <c r="A117" t="s">
        <v>148</v>
      </c>
      <c r="B117" t="str">
        <f>VLOOKUP(A117,[1]!Tabela1[[PLACA]:[STATUS]],2,0)</f>
        <v>OK</v>
      </c>
      <c r="C117" s="2">
        <v>46309</v>
      </c>
      <c r="D117">
        <f t="shared" ca="1" si="1"/>
        <v>-5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184</v>
      </c>
      <c r="K117" t="s">
        <v>22</v>
      </c>
      <c r="L117" t="s">
        <v>11</v>
      </c>
      <c r="M117" t="s">
        <v>23</v>
      </c>
      <c r="N117" t="s">
        <v>24</v>
      </c>
      <c r="O117" t="s">
        <v>146</v>
      </c>
      <c r="P117" t="s">
        <v>217</v>
      </c>
      <c r="Q117" s="2">
        <v>46207</v>
      </c>
      <c r="R117" s="2">
        <v>46204</v>
      </c>
    </row>
    <row r="118" spans="1:18" x14ac:dyDescent="0.3">
      <c r="A118" t="s">
        <v>149</v>
      </c>
      <c r="B118" t="str">
        <f>VLOOKUP(A118,[1]!Tabela1[[PLACA]:[STATUS]],2,0)</f>
        <v>OK</v>
      </c>
      <c r="C118" s="2">
        <v>46309</v>
      </c>
      <c r="D118">
        <f t="shared" ca="1" si="1"/>
        <v>-5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184</v>
      </c>
      <c r="K118" t="s">
        <v>22</v>
      </c>
      <c r="L118" t="s">
        <v>11</v>
      </c>
      <c r="M118" t="s">
        <v>23</v>
      </c>
      <c r="N118" t="s">
        <v>24</v>
      </c>
      <c r="O118" t="s">
        <v>146</v>
      </c>
      <c r="P118" t="s">
        <v>217</v>
      </c>
      <c r="Q118" s="2">
        <v>46207</v>
      </c>
      <c r="R118" s="2">
        <v>46204</v>
      </c>
    </row>
    <row r="119" spans="1:18" x14ac:dyDescent="0.3">
      <c r="A119" t="s">
        <v>150</v>
      </c>
      <c r="B119" t="str">
        <f>VLOOKUP(A119,[1]!Tabela1[[PLACA]:[STATUS]],2,0)</f>
        <v>OK</v>
      </c>
      <c r="C119" s="2">
        <v>46309</v>
      </c>
      <c r="D119">
        <f t="shared" ca="1" si="1"/>
        <v>-5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184</v>
      </c>
      <c r="K119" t="s">
        <v>22</v>
      </c>
      <c r="L119" t="s">
        <v>11</v>
      </c>
      <c r="M119" t="s">
        <v>23</v>
      </c>
      <c r="N119" t="s">
        <v>24</v>
      </c>
      <c r="O119" t="s">
        <v>146</v>
      </c>
      <c r="P119" t="s">
        <v>217</v>
      </c>
      <c r="Q119" s="2">
        <v>46207</v>
      </c>
      <c r="R119" s="2">
        <v>46204</v>
      </c>
    </row>
    <row r="120" spans="1:18" x14ac:dyDescent="0.3">
      <c r="A120" t="s">
        <v>151</v>
      </c>
      <c r="B120" t="str">
        <f>VLOOKUP(A120,[1]!Tabela1[[PLACA]:[STATUS]],2,0)</f>
        <v>OK</v>
      </c>
      <c r="C120" s="2">
        <v>46308</v>
      </c>
      <c r="D120">
        <f t="shared" ca="1" si="1"/>
        <v>-6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184</v>
      </c>
      <c r="K120" t="s">
        <v>22</v>
      </c>
      <c r="L120" t="s">
        <v>11</v>
      </c>
      <c r="M120" t="s">
        <v>23</v>
      </c>
      <c r="N120" t="s">
        <v>24</v>
      </c>
      <c r="O120" t="s">
        <v>146</v>
      </c>
      <c r="P120" t="s">
        <v>217</v>
      </c>
      <c r="Q120" s="2">
        <v>46207</v>
      </c>
      <c r="R120" s="2">
        <v>46204</v>
      </c>
    </row>
    <row r="121" spans="1:18" x14ac:dyDescent="0.3">
      <c r="A121" t="s">
        <v>152</v>
      </c>
      <c r="B121" t="str">
        <f>VLOOKUP(A121,[1]!Tabela1[[PLACA]:[STATUS]],2,0)</f>
        <v>OK</v>
      </c>
      <c r="C121" s="2">
        <v>0</v>
      </c>
      <c r="D121">
        <f t="shared" ca="1" si="1"/>
        <v>-46314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469</v>
      </c>
      <c r="K121" t="s">
        <v>118</v>
      </c>
      <c r="L121" t="s">
        <v>33</v>
      </c>
      <c r="M121" t="s">
        <v>23</v>
      </c>
      <c r="N121" t="s">
        <v>24</v>
      </c>
      <c r="O121" t="s">
        <v>153</v>
      </c>
      <c r="P121" t="s">
        <v>217</v>
      </c>
      <c r="Q121" s="2">
        <v>46280</v>
      </c>
      <c r="R121" s="2">
        <v>46280</v>
      </c>
    </row>
    <row r="122" spans="1:18" x14ac:dyDescent="0.3">
      <c r="A122" t="s">
        <v>154</v>
      </c>
      <c r="B122" t="str">
        <f>VLOOKUP(A122,[1]!Tabela1[[PLACA]:[STATUS]],2,0)</f>
        <v>OK</v>
      </c>
      <c r="C122" s="2">
        <v>46308</v>
      </c>
      <c r="D122">
        <f t="shared" ca="1" si="1"/>
        <v>-6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184</v>
      </c>
      <c r="K122" t="s">
        <v>101</v>
      </c>
      <c r="L122" t="s">
        <v>11</v>
      </c>
      <c r="M122" t="s">
        <v>23</v>
      </c>
      <c r="N122" t="s">
        <v>24</v>
      </c>
      <c r="O122" t="s">
        <v>146</v>
      </c>
      <c r="P122" t="s">
        <v>217</v>
      </c>
      <c r="Q122" s="2">
        <v>46280</v>
      </c>
      <c r="R122" s="2">
        <v>46277</v>
      </c>
    </row>
    <row r="123" spans="1:18" x14ac:dyDescent="0.3">
      <c r="A123" t="s">
        <v>155</v>
      </c>
      <c r="B123" t="str">
        <f>VLOOKUP(A123,[1]!Tabela1[[PLACA]:[STATUS]],2,0)</f>
        <v>OK</v>
      </c>
      <c r="C123" s="2">
        <v>46309</v>
      </c>
      <c r="D123">
        <f t="shared" ca="1" si="1"/>
        <v>-5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184</v>
      </c>
      <c r="K123" t="s">
        <v>101</v>
      </c>
      <c r="L123" t="s">
        <v>11</v>
      </c>
      <c r="M123" t="s">
        <v>23</v>
      </c>
      <c r="N123" t="s">
        <v>24</v>
      </c>
      <c r="O123" t="s">
        <v>146</v>
      </c>
      <c r="P123" t="s">
        <v>217</v>
      </c>
      <c r="Q123" s="2">
        <v>46280</v>
      </c>
      <c r="R123" s="2">
        <v>46281</v>
      </c>
    </row>
    <row r="124" spans="1:18" x14ac:dyDescent="0.3">
      <c r="A124" t="s">
        <v>156</v>
      </c>
      <c r="B124" t="str">
        <f>VLOOKUP(A124,[1]!Tabela1[[PLACA]:[STATUS]],2,0)</f>
        <v>OK</v>
      </c>
      <c r="C124" s="2">
        <v>46309</v>
      </c>
      <c r="D124">
        <f t="shared" ca="1" si="1"/>
        <v>-5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184</v>
      </c>
      <c r="K124" t="s">
        <v>101</v>
      </c>
      <c r="L124" t="s">
        <v>11</v>
      </c>
      <c r="M124" t="s">
        <v>23</v>
      </c>
      <c r="N124" t="s">
        <v>24</v>
      </c>
      <c r="O124" t="s">
        <v>146</v>
      </c>
      <c r="P124" t="s">
        <v>217</v>
      </c>
      <c r="Q124" s="2">
        <v>46280</v>
      </c>
      <c r="R124" s="2">
        <v>46282</v>
      </c>
    </row>
    <row r="125" spans="1:18" x14ac:dyDescent="0.3">
      <c r="A125" t="s">
        <v>157</v>
      </c>
      <c r="B125" t="str">
        <f>VLOOKUP(A125,[1]!Tabela1[[PLACA]:[STATUS]],2,0)</f>
        <v>OK</v>
      </c>
      <c r="C125" s="2">
        <v>46309</v>
      </c>
      <c r="D125">
        <f t="shared" ca="1" si="1"/>
        <v>-5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184</v>
      </c>
      <c r="K125" t="s">
        <v>101</v>
      </c>
      <c r="L125" t="s">
        <v>11</v>
      </c>
      <c r="M125" t="s">
        <v>23</v>
      </c>
      <c r="N125" t="s">
        <v>24</v>
      </c>
      <c r="O125" t="s">
        <v>146</v>
      </c>
      <c r="P125" t="s">
        <v>217</v>
      </c>
      <c r="Q125" s="2">
        <v>46280</v>
      </c>
      <c r="R125" s="2">
        <v>46282</v>
      </c>
    </row>
    <row r="126" spans="1:18" x14ac:dyDescent="0.3">
      <c r="A126" t="s">
        <v>158</v>
      </c>
      <c r="B126" t="str">
        <f>VLOOKUP(A126,[1]!Tabela1[[PLACA]:[STATUS]],2,0)</f>
        <v>OK</v>
      </c>
      <c r="C126" s="2">
        <v>46310</v>
      </c>
      <c r="D126">
        <f t="shared" ca="1" si="1"/>
        <v>-4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184</v>
      </c>
      <c r="K126" t="s">
        <v>101</v>
      </c>
      <c r="L126" t="s">
        <v>11</v>
      </c>
      <c r="M126" t="s">
        <v>23</v>
      </c>
      <c r="N126" t="s">
        <v>24</v>
      </c>
      <c r="O126" t="s">
        <v>146</v>
      </c>
      <c r="P126" t="s">
        <v>217</v>
      </c>
      <c r="Q126" s="2">
        <v>46280</v>
      </c>
      <c r="R126" s="2">
        <v>46281</v>
      </c>
    </row>
    <row r="127" spans="1:18" x14ac:dyDescent="0.3">
      <c r="A127" t="s">
        <v>159</v>
      </c>
      <c r="B127" t="str">
        <f>VLOOKUP(A127,[1]!Tabela1[[PLACA]:[STATUS]],2,0)</f>
        <v>OK</v>
      </c>
      <c r="C127" s="2">
        <v>46310</v>
      </c>
      <c r="D127">
        <f t="shared" ca="1" si="1"/>
        <v>-4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184</v>
      </c>
      <c r="K127" t="s">
        <v>28</v>
      </c>
      <c r="L127" t="s">
        <v>11</v>
      </c>
      <c r="M127" t="s">
        <v>29</v>
      </c>
      <c r="N127" t="s">
        <v>24</v>
      </c>
      <c r="O127" t="s">
        <v>30</v>
      </c>
      <c r="P127" t="s">
        <v>218</v>
      </c>
      <c r="Q127" s="2">
        <v>46215</v>
      </c>
      <c r="R127" s="2">
        <v>46212</v>
      </c>
    </row>
    <row r="128" spans="1:18" x14ac:dyDescent="0.3">
      <c r="A128" t="s">
        <v>160</v>
      </c>
      <c r="B128" t="str">
        <f>VLOOKUP(A128,[1]!Tabela1[[PLACA]:[STATUS]],2,0)</f>
        <v>OK</v>
      </c>
      <c r="C128" s="2">
        <v>46310</v>
      </c>
      <c r="D128">
        <f t="shared" ca="1" si="1"/>
        <v>-4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184</v>
      </c>
      <c r="K128" t="s">
        <v>22</v>
      </c>
      <c r="L128" t="s">
        <v>11</v>
      </c>
      <c r="M128" t="s">
        <v>23</v>
      </c>
      <c r="N128" t="s">
        <v>24</v>
      </c>
      <c r="O128" t="s">
        <v>146</v>
      </c>
      <c r="P128" t="s">
        <v>217</v>
      </c>
      <c r="Q128" s="2">
        <v>46207</v>
      </c>
      <c r="R128" s="2">
        <v>46204</v>
      </c>
    </row>
    <row r="129" spans="1:18" x14ac:dyDescent="0.3">
      <c r="A129" t="s">
        <v>161</v>
      </c>
      <c r="B129" t="str">
        <f>VLOOKUP(A129,[1]!Tabela1[[PLACA]:[STATUS]],2,0)</f>
        <v>OK</v>
      </c>
      <c r="C129" s="2">
        <v>46310</v>
      </c>
      <c r="D129">
        <f t="shared" ca="1" si="1"/>
        <v>-4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184</v>
      </c>
      <c r="K129" t="s">
        <v>22</v>
      </c>
      <c r="L129" t="s">
        <v>11</v>
      </c>
      <c r="M129" t="s">
        <v>23</v>
      </c>
      <c r="N129" t="s">
        <v>24</v>
      </c>
      <c r="O129" t="s">
        <v>153</v>
      </c>
      <c r="P129" t="s">
        <v>217</v>
      </c>
      <c r="Q129" s="2">
        <v>46290</v>
      </c>
      <c r="R129" s="2">
        <v>46289</v>
      </c>
    </row>
    <row r="130" spans="1:18" x14ac:dyDescent="0.3">
      <c r="A130" t="s">
        <v>162</v>
      </c>
      <c r="B130" t="str">
        <f>VLOOKUP(A130,[1]!Tabela1[[PLACA]:[STATUS]],2,0)</f>
        <v>OK</v>
      </c>
      <c r="C130" s="2">
        <v>46310</v>
      </c>
      <c r="D130">
        <f t="shared" ca="1" si="1"/>
        <v>-4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184</v>
      </c>
      <c r="K130" t="s">
        <v>22</v>
      </c>
      <c r="L130" t="s">
        <v>11</v>
      </c>
      <c r="M130" t="s">
        <v>23</v>
      </c>
      <c r="N130" t="s">
        <v>24</v>
      </c>
      <c r="O130" t="s">
        <v>153</v>
      </c>
      <c r="P130" t="s">
        <v>217</v>
      </c>
      <c r="Q130" s="2">
        <v>46290</v>
      </c>
      <c r="R130" s="2">
        <v>46288</v>
      </c>
    </row>
    <row r="131" spans="1:18" x14ac:dyDescent="0.3">
      <c r="A131" t="s">
        <v>186</v>
      </c>
      <c r="B131" t="str">
        <f>VLOOKUP(A131,[1]!Tabela1[[PLACA]:[STATUS]],2,0)</f>
        <v>OK</v>
      </c>
      <c r="C131" s="2">
        <v>46310</v>
      </c>
      <c r="D131">
        <f t="shared" ref="D131:D192" ca="1" si="2">C131-$S$1</f>
        <v>-4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184</v>
      </c>
      <c r="K131" t="s">
        <v>163</v>
      </c>
      <c r="L131" t="s">
        <v>11</v>
      </c>
      <c r="M131" t="s">
        <v>23</v>
      </c>
      <c r="N131" t="s">
        <v>24</v>
      </c>
      <c r="O131" t="s">
        <v>146</v>
      </c>
      <c r="P131" t="s">
        <v>217</v>
      </c>
      <c r="Q131" s="2">
        <v>46295</v>
      </c>
      <c r="R131" s="2">
        <v>46295</v>
      </c>
    </row>
    <row r="132" spans="1:18" x14ac:dyDescent="0.3">
      <c r="A132" t="s">
        <v>187</v>
      </c>
      <c r="B132" t="str">
        <f>VLOOKUP(A132,[1]!Tabela1[[PLACA]:[STATUS]],2,0)</f>
        <v>OK</v>
      </c>
      <c r="C132" s="2">
        <v>0</v>
      </c>
      <c r="D132">
        <f t="shared" ca="1" si="2"/>
        <v>-46314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184</v>
      </c>
      <c r="K132" t="s">
        <v>163</v>
      </c>
      <c r="L132" t="s">
        <v>11</v>
      </c>
      <c r="M132" t="s">
        <v>23</v>
      </c>
      <c r="N132" t="s">
        <v>24</v>
      </c>
      <c r="O132" t="s">
        <v>146</v>
      </c>
      <c r="P132" t="s">
        <v>217</v>
      </c>
      <c r="Q132" s="2">
        <v>46295</v>
      </c>
      <c r="R132" s="2">
        <v>46295</v>
      </c>
    </row>
    <row r="133" spans="1:18" x14ac:dyDescent="0.3">
      <c r="A133" t="s">
        <v>188</v>
      </c>
      <c r="B133" t="str">
        <f>VLOOKUP(A133,[1]!Tabela1[[PLACA]:[STATUS]],2,0)</f>
        <v>OK</v>
      </c>
      <c r="C133" s="2">
        <v>46310</v>
      </c>
      <c r="D133">
        <f t="shared" ca="1" si="2"/>
        <v>-4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184</v>
      </c>
      <c r="K133" t="s">
        <v>163</v>
      </c>
      <c r="L133" t="s">
        <v>11</v>
      </c>
      <c r="M133" t="s">
        <v>23</v>
      </c>
      <c r="N133" t="s">
        <v>24</v>
      </c>
      <c r="O133" t="s">
        <v>146</v>
      </c>
      <c r="P133" t="s">
        <v>217</v>
      </c>
      <c r="Q133" s="2">
        <v>46295</v>
      </c>
      <c r="R133" s="2">
        <v>46295</v>
      </c>
    </row>
    <row r="134" spans="1:18" x14ac:dyDescent="0.3">
      <c r="A134" t="s">
        <v>189</v>
      </c>
      <c r="B134" t="str">
        <f>VLOOKUP(A134,[1]!Tabela1[[PLACA]:[STATUS]],2,0)</f>
        <v>OK</v>
      </c>
      <c r="C134" s="2">
        <v>46310</v>
      </c>
      <c r="D134">
        <f t="shared" ca="1" si="2"/>
        <v>-4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184</v>
      </c>
      <c r="K134" t="s">
        <v>163</v>
      </c>
      <c r="L134" t="s">
        <v>11</v>
      </c>
      <c r="M134" t="s">
        <v>23</v>
      </c>
      <c r="N134" t="s">
        <v>24</v>
      </c>
      <c r="O134" t="s">
        <v>146</v>
      </c>
      <c r="P134" t="s">
        <v>217</v>
      </c>
      <c r="Q134" s="2">
        <v>46295</v>
      </c>
      <c r="R134" s="2">
        <v>46295</v>
      </c>
    </row>
    <row r="135" spans="1:18" x14ac:dyDescent="0.3">
      <c r="A135" t="s">
        <v>190</v>
      </c>
      <c r="B135" t="str">
        <f>VLOOKUP(A135,[1]!Tabela1[[PLACA]:[STATUS]],2,0)</f>
        <v>OK</v>
      </c>
      <c r="C135" s="2">
        <v>46310</v>
      </c>
      <c r="D135">
        <f t="shared" ca="1" si="2"/>
        <v>-4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184</v>
      </c>
      <c r="K135" t="s">
        <v>163</v>
      </c>
      <c r="L135" t="s">
        <v>11</v>
      </c>
      <c r="M135" t="s">
        <v>23</v>
      </c>
      <c r="N135" t="s">
        <v>24</v>
      </c>
      <c r="O135" t="s">
        <v>146</v>
      </c>
      <c r="P135" t="s">
        <v>217</v>
      </c>
      <c r="Q135" s="2">
        <v>46295</v>
      </c>
      <c r="R135" s="2">
        <v>46295</v>
      </c>
    </row>
    <row r="136" spans="1:18" x14ac:dyDescent="0.3">
      <c r="A136" t="s">
        <v>191</v>
      </c>
      <c r="B136" t="str">
        <f>VLOOKUP(A136,[1]!Tabela1[[PLACA]:[STATUS]],2,0)</f>
        <v>OK</v>
      </c>
      <c r="C136" s="2">
        <v>0</v>
      </c>
      <c r="D136">
        <f t="shared" ca="1" si="2"/>
        <v>-46314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184</v>
      </c>
      <c r="K136" t="s">
        <v>163</v>
      </c>
      <c r="L136" t="s">
        <v>11</v>
      </c>
      <c r="M136" t="s">
        <v>23</v>
      </c>
      <c r="N136" t="s">
        <v>24</v>
      </c>
      <c r="O136" t="s">
        <v>146</v>
      </c>
      <c r="P136" t="s">
        <v>217</v>
      </c>
      <c r="Q136" s="2">
        <v>46295</v>
      </c>
      <c r="R136" s="2">
        <v>46295</v>
      </c>
    </row>
    <row r="137" spans="1:18" x14ac:dyDescent="0.3">
      <c r="A137" t="s">
        <v>192</v>
      </c>
      <c r="B137" t="str">
        <f>VLOOKUP(A137,[1]!Tabela1[[PLACA]:[STATUS]],2,0)</f>
        <v>OK</v>
      </c>
      <c r="C137" s="2">
        <v>46310</v>
      </c>
      <c r="D137">
        <f t="shared" ca="1" si="2"/>
        <v>-4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184</v>
      </c>
      <c r="K137" t="s">
        <v>163</v>
      </c>
      <c r="L137" t="s">
        <v>11</v>
      </c>
      <c r="M137" t="s">
        <v>23</v>
      </c>
      <c r="N137" t="s">
        <v>24</v>
      </c>
      <c r="O137" t="s">
        <v>146</v>
      </c>
      <c r="P137" t="s">
        <v>217</v>
      </c>
      <c r="Q137" s="2">
        <v>46295</v>
      </c>
      <c r="R137" s="2">
        <v>46295</v>
      </c>
    </row>
    <row r="138" spans="1:18" x14ac:dyDescent="0.3">
      <c r="A138" t="s">
        <v>193</v>
      </c>
      <c r="B138" t="e">
        <f>VLOOKUP(A138,[1]!Tabela1[[PLACA]:[STATUS]],2,0)</f>
        <v>#N/A</v>
      </c>
      <c r="C138" s="2" t="e">
        <v>#N/A</v>
      </c>
      <c r="D138" t="e">
        <f t="shared" ca="1" si="2"/>
        <v>#N/A</v>
      </c>
      <c r="K138" t="s">
        <v>28</v>
      </c>
      <c r="L138" t="s">
        <v>11</v>
      </c>
      <c r="M138" t="s">
        <v>23</v>
      </c>
      <c r="N138" t="s">
        <v>24</v>
      </c>
      <c r="O138" t="s">
        <v>146</v>
      </c>
      <c r="P138" t="s">
        <v>217</v>
      </c>
      <c r="Q138" s="2"/>
      <c r="R138" s="2"/>
    </row>
    <row r="139" spans="1:18" x14ac:dyDescent="0.3">
      <c r="A139" t="s">
        <v>194</v>
      </c>
      <c r="B139" t="str">
        <f>VLOOKUP(A139,[1]!Tabela1[[PLACA]:[STATUS]],2,0)</f>
        <v>OK</v>
      </c>
      <c r="C139" s="2" t="e">
        <v>#N/A</v>
      </c>
      <c r="D139" t="e">
        <f t="shared" ca="1" si="2"/>
        <v>#N/A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184</v>
      </c>
      <c r="K139" t="s">
        <v>28</v>
      </c>
      <c r="L139" t="s">
        <v>11</v>
      </c>
      <c r="M139" t="s">
        <v>23</v>
      </c>
      <c r="N139" t="s">
        <v>24</v>
      </c>
      <c r="O139" t="s">
        <v>146</v>
      </c>
      <c r="P139" t="s">
        <v>217</v>
      </c>
      <c r="Q139" s="2">
        <v>46310</v>
      </c>
      <c r="R139" s="2">
        <v>46310</v>
      </c>
    </row>
    <row r="140" spans="1:18" x14ac:dyDescent="0.3">
      <c r="A140" t="s">
        <v>195</v>
      </c>
      <c r="B140" t="e">
        <f>VLOOKUP(A140,[1]!Tabela1[[PLACA]:[STATUS]],2,0)</f>
        <v>#N/A</v>
      </c>
      <c r="C140" s="2" t="e">
        <v>#N/A</v>
      </c>
      <c r="D140" t="e">
        <f t="shared" ca="1" si="2"/>
        <v>#N/A</v>
      </c>
      <c r="K140" t="s">
        <v>28</v>
      </c>
      <c r="L140" t="s">
        <v>11</v>
      </c>
      <c r="M140" t="s">
        <v>23</v>
      </c>
      <c r="N140" t="s">
        <v>24</v>
      </c>
      <c r="O140" t="s">
        <v>146</v>
      </c>
      <c r="P140" t="s">
        <v>217</v>
      </c>
      <c r="Q140" s="2"/>
      <c r="R140" s="2"/>
    </row>
    <row r="141" spans="1:18" x14ac:dyDescent="0.3">
      <c r="A141" t="s">
        <v>196</v>
      </c>
      <c r="B141" t="e">
        <f>VLOOKUP(A141,[1]!Tabela1[[PLACA]:[STATUS]],2,0)</f>
        <v>#N/A</v>
      </c>
      <c r="C141" s="2" t="e">
        <v>#N/A</v>
      </c>
      <c r="D141" t="e">
        <f t="shared" ca="1" si="2"/>
        <v>#N/A</v>
      </c>
      <c r="K141" t="s">
        <v>28</v>
      </c>
      <c r="L141" t="s">
        <v>11</v>
      </c>
      <c r="M141" t="s">
        <v>23</v>
      </c>
      <c r="N141" t="s">
        <v>24</v>
      </c>
      <c r="O141" t="s">
        <v>146</v>
      </c>
      <c r="P141" t="s">
        <v>217</v>
      </c>
      <c r="Q141" s="2"/>
      <c r="R141" s="2"/>
    </row>
    <row r="142" spans="1:18" x14ac:dyDescent="0.3">
      <c r="A142" t="s">
        <v>197</v>
      </c>
      <c r="B142" t="e">
        <f>VLOOKUP(A142,[1]!Tabela1[[PLACA]:[STATUS]],2,0)</f>
        <v>#N/A</v>
      </c>
      <c r="C142" s="2" t="e">
        <v>#N/A</v>
      </c>
      <c r="D142" t="e">
        <f t="shared" ca="1" si="2"/>
        <v>#N/A</v>
      </c>
      <c r="K142" t="s">
        <v>28</v>
      </c>
      <c r="L142" t="s">
        <v>11</v>
      </c>
      <c r="M142" t="s">
        <v>23</v>
      </c>
      <c r="N142" t="s">
        <v>24</v>
      </c>
      <c r="P142" t="s">
        <v>217</v>
      </c>
      <c r="Q142" s="2"/>
      <c r="R142" s="2"/>
    </row>
    <row r="143" spans="1:18" x14ac:dyDescent="0.3">
      <c r="A143" t="s">
        <v>198</v>
      </c>
      <c r="B143" t="e">
        <f>VLOOKUP(A143,[1]!Tabela1[[PLACA]:[STATUS]],2,0)</f>
        <v>#N/A</v>
      </c>
      <c r="C143" s="2" t="e">
        <v>#N/A</v>
      </c>
      <c r="D143" t="e">
        <f t="shared" ca="1" si="2"/>
        <v>#N/A</v>
      </c>
      <c r="K143" t="s">
        <v>28</v>
      </c>
      <c r="L143" t="s">
        <v>11</v>
      </c>
      <c r="M143" t="s">
        <v>23</v>
      </c>
      <c r="N143" t="s">
        <v>24</v>
      </c>
      <c r="O143" t="s">
        <v>146</v>
      </c>
      <c r="P143" t="s">
        <v>217</v>
      </c>
      <c r="Q143" s="2"/>
      <c r="R143" s="2"/>
    </row>
    <row r="144" spans="1:18" x14ac:dyDescent="0.3">
      <c r="A144" t="s">
        <v>199</v>
      </c>
      <c r="B144" t="e">
        <f>VLOOKUP(A144,[1]!Tabela1[[PLACA]:[STATUS]],2,0)</f>
        <v>#N/A</v>
      </c>
      <c r="C144" s="2" t="e">
        <v>#N/A</v>
      </c>
      <c r="D144" t="e">
        <f t="shared" ca="1" si="2"/>
        <v>#N/A</v>
      </c>
      <c r="K144" t="s">
        <v>28</v>
      </c>
      <c r="L144" t="s">
        <v>11</v>
      </c>
      <c r="M144" t="s">
        <v>23</v>
      </c>
      <c r="N144" t="s">
        <v>24</v>
      </c>
      <c r="O144" t="s">
        <v>146</v>
      </c>
      <c r="P144" t="s">
        <v>217</v>
      </c>
      <c r="Q144" s="2"/>
      <c r="R144" s="2"/>
    </row>
    <row r="145" spans="1:18" x14ac:dyDescent="0.3">
      <c r="A145" t="s">
        <v>200</v>
      </c>
      <c r="B145" t="e">
        <f>VLOOKUP(A145,[1]!Tabela1[[PLACA]:[STATUS]],2,0)</f>
        <v>#N/A</v>
      </c>
      <c r="C145" s="2" t="e">
        <v>#N/A</v>
      </c>
      <c r="D145" t="e">
        <f t="shared" ca="1" si="2"/>
        <v>#N/A</v>
      </c>
      <c r="K145" t="s">
        <v>28</v>
      </c>
      <c r="L145" t="s">
        <v>11</v>
      </c>
      <c r="M145" t="s">
        <v>23</v>
      </c>
      <c r="N145" t="s">
        <v>24</v>
      </c>
      <c r="O145" t="s">
        <v>146</v>
      </c>
      <c r="P145" t="s">
        <v>217</v>
      </c>
      <c r="Q145" s="2"/>
      <c r="R145" s="2"/>
    </row>
    <row r="146" spans="1:18" x14ac:dyDescent="0.3">
      <c r="A146" t="s">
        <v>201</v>
      </c>
      <c r="B146" t="e">
        <f>VLOOKUP(A146,[1]!Tabela1[[PLACA]:[STATUS]],2,0)</f>
        <v>#N/A</v>
      </c>
      <c r="C146" s="2" t="e">
        <v>#N/A</v>
      </c>
      <c r="D146" t="e">
        <f t="shared" ca="1" si="2"/>
        <v>#N/A</v>
      </c>
      <c r="K146" t="s">
        <v>28</v>
      </c>
      <c r="L146" t="s">
        <v>11</v>
      </c>
      <c r="M146" t="s">
        <v>23</v>
      </c>
      <c r="N146" t="s">
        <v>24</v>
      </c>
      <c r="O146" t="s">
        <v>146</v>
      </c>
      <c r="P146" t="s">
        <v>217</v>
      </c>
      <c r="Q146" s="2"/>
      <c r="R146" s="2"/>
    </row>
    <row r="147" spans="1:18" x14ac:dyDescent="0.3">
      <c r="A147" t="s">
        <v>202</v>
      </c>
      <c r="B147" t="e">
        <f>VLOOKUP(A147,[1]!Tabela1[[PLACA]:[STATUS]],2,0)</f>
        <v>#N/A</v>
      </c>
      <c r="C147" s="2" t="e">
        <v>#N/A</v>
      </c>
      <c r="D147" t="e">
        <f t="shared" ca="1" si="2"/>
        <v>#N/A</v>
      </c>
      <c r="K147" t="s">
        <v>28</v>
      </c>
      <c r="L147" t="s">
        <v>11</v>
      </c>
      <c r="M147" t="s">
        <v>23</v>
      </c>
      <c r="N147" t="s">
        <v>24</v>
      </c>
      <c r="O147" t="s">
        <v>146</v>
      </c>
      <c r="P147" t="s">
        <v>217</v>
      </c>
      <c r="Q147" s="2"/>
      <c r="R147" s="2"/>
    </row>
    <row r="148" spans="1:18" x14ac:dyDescent="0.3">
      <c r="A148" t="s">
        <v>203</v>
      </c>
      <c r="B148" t="e">
        <f>VLOOKUP(A148,[1]!Tabela1[[PLACA]:[STATUS]],2,0)</f>
        <v>#N/A</v>
      </c>
      <c r="C148" s="2" t="e">
        <v>#N/A</v>
      </c>
      <c r="D148" t="e">
        <f t="shared" ca="1" si="2"/>
        <v>#N/A</v>
      </c>
      <c r="K148" t="s">
        <v>28</v>
      </c>
      <c r="L148" t="s">
        <v>11</v>
      </c>
      <c r="M148" t="s">
        <v>23</v>
      </c>
      <c r="N148" t="s">
        <v>24</v>
      </c>
      <c r="O148" t="s">
        <v>146</v>
      </c>
      <c r="P148" t="s">
        <v>217</v>
      </c>
      <c r="Q148" s="2"/>
      <c r="R148" s="2"/>
    </row>
    <row r="149" spans="1:18" x14ac:dyDescent="0.3">
      <c r="A149" t="s">
        <v>204</v>
      </c>
      <c r="B149" t="e">
        <f>VLOOKUP(A149,[1]!Tabela1[[PLACA]:[STATUS]],2,0)</f>
        <v>#N/A</v>
      </c>
      <c r="C149" s="2" t="e">
        <v>#N/A</v>
      </c>
      <c r="D149" t="e">
        <f t="shared" ca="1" si="2"/>
        <v>#N/A</v>
      </c>
      <c r="K149" t="s">
        <v>22</v>
      </c>
      <c r="L149" t="s">
        <v>11</v>
      </c>
      <c r="M149" t="s">
        <v>23</v>
      </c>
      <c r="N149" t="s">
        <v>24</v>
      </c>
      <c r="O149" t="s">
        <v>153</v>
      </c>
      <c r="P149" t="s">
        <v>217</v>
      </c>
      <c r="Q149" s="2">
        <v>46290</v>
      </c>
      <c r="R149" s="2"/>
    </row>
    <row r="150" spans="1:18" x14ac:dyDescent="0.3">
      <c r="A150" t="s">
        <v>205</v>
      </c>
      <c r="B150" t="str">
        <f>VLOOKUP(A150,[1]!Tabela1[[PLACA]:[STATUS]],2,0)</f>
        <v>OK</v>
      </c>
      <c r="C150" s="2" t="e">
        <v>#N/A</v>
      </c>
      <c r="D150" t="e">
        <f t="shared" ca="1" si="2"/>
        <v>#N/A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184</v>
      </c>
      <c r="K150" t="s">
        <v>22</v>
      </c>
      <c r="L150" t="s">
        <v>11</v>
      </c>
      <c r="M150" t="s">
        <v>23</v>
      </c>
      <c r="N150" t="s">
        <v>24</v>
      </c>
      <c r="O150" t="s">
        <v>153</v>
      </c>
      <c r="P150" t="s">
        <v>217</v>
      </c>
      <c r="Q150" s="2"/>
      <c r="R150" s="2"/>
    </row>
    <row r="151" spans="1:18" x14ac:dyDescent="0.3">
      <c r="A151" t="s">
        <v>164</v>
      </c>
      <c r="B151" t="str">
        <f>VLOOKUP(A151,[1]!Tabela1[[PLACA]:[STATUS]],2,0)</f>
        <v>OK</v>
      </c>
      <c r="C151" s="2">
        <v>46310</v>
      </c>
      <c r="D151">
        <f t="shared" ca="1" si="2"/>
        <v>-4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184</v>
      </c>
      <c r="K151" t="s">
        <v>118</v>
      </c>
      <c r="L151" t="s">
        <v>33</v>
      </c>
      <c r="M151" t="s">
        <v>23</v>
      </c>
      <c r="N151" t="s">
        <v>24</v>
      </c>
      <c r="O151" t="s">
        <v>153</v>
      </c>
      <c r="P151" t="s">
        <v>217</v>
      </c>
      <c r="Q151" s="2">
        <v>46239</v>
      </c>
      <c r="R151" s="2">
        <v>46235</v>
      </c>
    </row>
    <row r="152" spans="1:18" x14ac:dyDescent="0.3">
      <c r="A152" t="s">
        <v>165</v>
      </c>
      <c r="B152" t="str">
        <f>VLOOKUP(A152,[1]!Tabela1[[PLACA]:[STATUS]],2,0)</f>
        <v>OK</v>
      </c>
      <c r="C152" s="2">
        <v>46310</v>
      </c>
      <c r="D152">
        <f t="shared" ca="1" si="2"/>
        <v>-4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184</v>
      </c>
      <c r="K152" t="s">
        <v>118</v>
      </c>
      <c r="L152" t="s">
        <v>33</v>
      </c>
      <c r="M152" t="s">
        <v>23</v>
      </c>
      <c r="N152" t="s">
        <v>24</v>
      </c>
      <c r="O152" t="s">
        <v>153</v>
      </c>
      <c r="P152" t="s">
        <v>217</v>
      </c>
      <c r="Q152" s="2">
        <v>46270</v>
      </c>
      <c r="R152" s="2">
        <v>46263</v>
      </c>
    </row>
    <row r="153" spans="1:18" x14ac:dyDescent="0.3">
      <c r="A153" t="s">
        <v>166</v>
      </c>
      <c r="B153" t="str">
        <f>VLOOKUP(A153,[1]!Tabela1[[PLACA]:[STATUS]],2,0)</f>
        <v>OK</v>
      </c>
      <c r="C153" s="2">
        <v>46310</v>
      </c>
      <c r="D153">
        <f t="shared" ca="1" si="2"/>
        <v>-4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184</v>
      </c>
      <c r="K153" t="s">
        <v>118</v>
      </c>
      <c r="L153" t="s">
        <v>33</v>
      </c>
      <c r="M153" t="s">
        <v>23</v>
      </c>
      <c r="N153" t="s">
        <v>24</v>
      </c>
      <c r="O153" t="s">
        <v>153</v>
      </c>
      <c r="P153" t="s">
        <v>217</v>
      </c>
      <c r="Q153" s="2">
        <v>46270</v>
      </c>
      <c r="R153" s="2">
        <v>46263</v>
      </c>
    </row>
    <row r="154" spans="1:18" x14ac:dyDescent="0.3">
      <c r="A154" t="s">
        <v>167</v>
      </c>
      <c r="B154" t="str">
        <f>VLOOKUP(A154,[1]!Tabela1[[PLACA]:[STATUS]],2,0)</f>
        <v>OK</v>
      </c>
      <c r="C154" s="2">
        <v>46310</v>
      </c>
      <c r="D154">
        <f t="shared" ca="1" si="2"/>
        <v>-4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184</v>
      </c>
      <c r="K154" t="s">
        <v>118</v>
      </c>
      <c r="L154" t="s">
        <v>33</v>
      </c>
      <c r="M154" t="s">
        <v>23</v>
      </c>
      <c r="N154" t="s">
        <v>24</v>
      </c>
      <c r="O154" t="s">
        <v>153</v>
      </c>
      <c r="P154" t="s">
        <v>217</v>
      </c>
      <c r="Q154" s="2">
        <v>46239</v>
      </c>
      <c r="R154" s="2">
        <v>46235</v>
      </c>
    </row>
    <row r="155" spans="1:18" x14ac:dyDescent="0.3">
      <c r="A155" t="s">
        <v>168</v>
      </c>
      <c r="B155" t="str">
        <f>VLOOKUP(A155,[1]!Tabela1[[PLACA]:[STATUS]],2,0)</f>
        <v>OK</v>
      </c>
      <c r="C155" s="2">
        <v>46310</v>
      </c>
      <c r="D155">
        <f t="shared" ca="1" si="2"/>
        <v>-4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184</v>
      </c>
      <c r="K155" t="s">
        <v>118</v>
      </c>
      <c r="L155" t="s">
        <v>33</v>
      </c>
      <c r="M155" t="s">
        <v>23</v>
      </c>
      <c r="N155" t="s">
        <v>24</v>
      </c>
      <c r="O155" t="s">
        <v>153</v>
      </c>
      <c r="P155" t="s">
        <v>217</v>
      </c>
      <c r="Q155" s="2">
        <v>46262</v>
      </c>
      <c r="R155" s="2">
        <v>46261</v>
      </c>
    </row>
    <row r="156" spans="1:18" x14ac:dyDescent="0.3">
      <c r="A156" t="s">
        <v>169</v>
      </c>
      <c r="B156" t="str">
        <f>VLOOKUP(A156,[1]!Tabela1[[PLACA]:[STATUS]],2,0)</f>
        <v>OK</v>
      </c>
      <c r="C156" s="2">
        <v>46289</v>
      </c>
      <c r="D156">
        <f t="shared" ca="1" si="2"/>
        <v>-25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184</v>
      </c>
      <c r="K156" t="s">
        <v>118</v>
      </c>
      <c r="L156" t="s">
        <v>33</v>
      </c>
      <c r="M156" t="s">
        <v>23</v>
      </c>
      <c r="N156" t="s">
        <v>24</v>
      </c>
      <c r="O156" t="s">
        <v>153</v>
      </c>
      <c r="P156" t="s">
        <v>217</v>
      </c>
      <c r="Q156" s="2">
        <v>46270</v>
      </c>
      <c r="R156" s="2">
        <v>46261</v>
      </c>
    </row>
    <row r="157" spans="1:18" x14ac:dyDescent="0.3">
      <c r="A157" t="s">
        <v>170</v>
      </c>
      <c r="B157" t="str">
        <f>VLOOKUP(A157,[1]!Tabela1[[PLACA]:[STATUS]],2,0)</f>
        <v>OK</v>
      </c>
      <c r="C157" s="2">
        <v>46310</v>
      </c>
      <c r="D157">
        <f t="shared" ca="1" si="2"/>
        <v>-4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184</v>
      </c>
      <c r="K157" t="s">
        <v>118</v>
      </c>
      <c r="L157" t="s">
        <v>33</v>
      </c>
      <c r="M157" t="s">
        <v>23</v>
      </c>
      <c r="N157" t="s">
        <v>24</v>
      </c>
      <c r="O157" t="s">
        <v>153</v>
      </c>
      <c r="P157" t="s">
        <v>217</v>
      </c>
      <c r="Q157" s="2">
        <v>46262</v>
      </c>
      <c r="R157" s="2">
        <v>46256</v>
      </c>
    </row>
    <row r="158" spans="1:18" x14ac:dyDescent="0.3">
      <c r="A158" t="s">
        <v>171</v>
      </c>
      <c r="B158" t="str">
        <f>VLOOKUP(A158,[1]!Tabela1[[PLACA]:[STATUS]],2,0)</f>
        <v>OK</v>
      </c>
      <c r="C158" s="2">
        <v>46310</v>
      </c>
      <c r="D158">
        <f t="shared" ca="1" si="2"/>
        <v>-4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184</v>
      </c>
      <c r="K158" t="s">
        <v>118</v>
      </c>
      <c r="L158" t="s">
        <v>33</v>
      </c>
      <c r="M158" t="s">
        <v>23</v>
      </c>
      <c r="N158" t="s">
        <v>24</v>
      </c>
      <c r="O158" t="s">
        <v>153</v>
      </c>
      <c r="P158" t="s">
        <v>217</v>
      </c>
      <c r="Q158" s="2">
        <v>46270</v>
      </c>
      <c r="R158" s="2">
        <v>46262</v>
      </c>
    </row>
    <row r="159" spans="1:18" x14ac:dyDescent="0.3">
      <c r="A159" t="s">
        <v>172</v>
      </c>
      <c r="B159" t="str">
        <f>VLOOKUP(A159,[1]!Tabela1[[PLACA]:[STATUS]],2,0)</f>
        <v>OK</v>
      </c>
      <c r="C159" s="2">
        <v>46309</v>
      </c>
      <c r="D159">
        <f t="shared" ca="1" si="2"/>
        <v>-5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184</v>
      </c>
      <c r="K159" t="s">
        <v>118</v>
      </c>
      <c r="L159" t="s">
        <v>33</v>
      </c>
      <c r="M159" t="s">
        <v>23</v>
      </c>
      <c r="N159" t="s">
        <v>24</v>
      </c>
      <c r="O159" t="s">
        <v>153</v>
      </c>
      <c r="P159" t="s">
        <v>217</v>
      </c>
      <c r="Q159" s="2">
        <v>46262</v>
      </c>
      <c r="R159" s="2">
        <v>46261</v>
      </c>
    </row>
    <row r="160" spans="1:18" x14ac:dyDescent="0.3">
      <c r="A160" t="s">
        <v>173</v>
      </c>
      <c r="B160" t="str">
        <f>VLOOKUP(A160,[1]!Tabela1[[PLACA]:[STATUS]],2,0)</f>
        <v>OK</v>
      </c>
      <c r="C160" s="2">
        <v>46309</v>
      </c>
      <c r="D160">
        <f t="shared" ca="1" si="2"/>
        <v>-5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184</v>
      </c>
      <c r="K160" t="s">
        <v>174</v>
      </c>
      <c r="L160" t="s">
        <v>11</v>
      </c>
      <c r="M160" t="s">
        <v>23</v>
      </c>
      <c r="N160" t="s">
        <v>24</v>
      </c>
      <c r="O160" t="s">
        <v>153</v>
      </c>
      <c r="P160" t="s">
        <v>217</v>
      </c>
      <c r="Q160" s="2">
        <v>46280</v>
      </c>
      <c r="R160" s="2">
        <v>46289</v>
      </c>
    </row>
    <row r="161" spans="1:18" x14ac:dyDescent="0.3">
      <c r="A161" t="s">
        <v>175</v>
      </c>
      <c r="B161" t="str">
        <f>VLOOKUP(A161,[1]!Tabela1[[PLACA]:[STATUS]],2,0)</f>
        <v>OK</v>
      </c>
      <c r="C161" s="2">
        <v>46310</v>
      </c>
      <c r="D161">
        <f t="shared" ca="1" si="2"/>
        <v>-4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184</v>
      </c>
      <c r="K161" t="s">
        <v>174</v>
      </c>
      <c r="L161" t="s">
        <v>11</v>
      </c>
      <c r="M161" t="s">
        <v>23</v>
      </c>
      <c r="N161" t="s">
        <v>24</v>
      </c>
      <c r="O161" t="s">
        <v>153</v>
      </c>
      <c r="P161" t="s">
        <v>217</v>
      </c>
      <c r="Q161" s="2">
        <v>46280</v>
      </c>
      <c r="R161" s="2">
        <v>46289</v>
      </c>
    </row>
    <row r="162" spans="1:18" x14ac:dyDescent="0.3">
      <c r="A162" t="s">
        <v>176</v>
      </c>
      <c r="B162" t="str">
        <f>VLOOKUP(A162,[1]!Tabela1[[PLACA]:[STATUS]],2,0)</f>
        <v>OK</v>
      </c>
      <c r="C162" s="2">
        <v>46309</v>
      </c>
      <c r="D162">
        <f t="shared" ca="1" si="2"/>
        <v>-5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184</v>
      </c>
      <c r="K162" t="s">
        <v>174</v>
      </c>
      <c r="L162" t="s">
        <v>11</v>
      </c>
      <c r="M162" t="s">
        <v>23</v>
      </c>
      <c r="N162" t="s">
        <v>24</v>
      </c>
      <c r="O162" t="s">
        <v>153</v>
      </c>
      <c r="P162" t="s">
        <v>217</v>
      </c>
      <c r="Q162" s="2">
        <v>46280</v>
      </c>
      <c r="R162" s="2">
        <v>46289</v>
      </c>
    </row>
    <row r="163" spans="1:18" x14ac:dyDescent="0.3">
      <c r="A163" t="s">
        <v>206</v>
      </c>
      <c r="B163" t="str">
        <f>VLOOKUP(A163,[1]!Tabela1[[PLACA]:[STATUS]],2,0)</f>
        <v>OK</v>
      </c>
      <c r="C163" s="2" t="e">
        <v>#N/A</v>
      </c>
      <c r="D163" t="e">
        <f t="shared" ca="1" si="2"/>
        <v>#N/A</v>
      </c>
      <c r="E163" t="s">
        <v>184</v>
      </c>
      <c r="K163" t="s">
        <v>174</v>
      </c>
      <c r="L163" t="s">
        <v>11</v>
      </c>
      <c r="M163" t="s">
        <v>23</v>
      </c>
      <c r="N163" t="s">
        <v>24</v>
      </c>
      <c r="O163" t="s">
        <v>146</v>
      </c>
      <c r="P163" t="s">
        <v>217</v>
      </c>
      <c r="Q163" s="2">
        <v>46304</v>
      </c>
      <c r="R163" s="2">
        <v>46304</v>
      </c>
    </row>
    <row r="164" spans="1:18" x14ac:dyDescent="0.3">
      <c r="A164" t="s">
        <v>207</v>
      </c>
      <c r="B164" t="e">
        <f>VLOOKUP(A164,[1]!Tabela1[[PLACA]:[STATUS]],2,0)</f>
        <v>#N/A</v>
      </c>
      <c r="C164" s="2" t="e">
        <v>#N/A</v>
      </c>
      <c r="D164" t="e">
        <f t="shared" ca="1" si="2"/>
        <v>#N/A</v>
      </c>
      <c r="K164" t="s">
        <v>174</v>
      </c>
      <c r="L164" t="s">
        <v>11</v>
      </c>
      <c r="M164" t="s">
        <v>23</v>
      </c>
      <c r="N164" t="s">
        <v>24</v>
      </c>
      <c r="O164" t="s">
        <v>146</v>
      </c>
      <c r="P164" t="s">
        <v>217</v>
      </c>
      <c r="Q164" s="2"/>
      <c r="R164" s="2"/>
    </row>
    <row r="165" spans="1:18" x14ac:dyDescent="0.3">
      <c r="A165" t="s">
        <v>208</v>
      </c>
      <c r="B165" t="str">
        <f>VLOOKUP(A165,[1]!Tabela1[[PLACA]:[STATUS]],2,0)</f>
        <v>OK</v>
      </c>
      <c r="C165" s="2">
        <v>46310</v>
      </c>
      <c r="D165">
        <f t="shared" ca="1" si="2"/>
        <v>-4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469</v>
      </c>
      <c r="K165" t="s">
        <v>174</v>
      </c>
      <c r="L165" t="s">
        <v>11</v>
      </c>
      <c r="M165" t="s">
        <v>23</v>
      </c>
      <c r="N165" t="s">
        <v>24</v>
      </c>
      <c r="O165" t="s">
        <v>146</v>
      </c>
      <c r="P165" t="s">
        <v>217</v>
      </c>
      <c r="Q165" s="2">
        <v>46310</v>
      </c>
      <c r="R165" s="2">
        <v>46310</v>
      </c>
    </row>
    <row r="166" spans="1:18" x14ac:dyDescent="0.3">
      <c r="A166" t="s">
        <v>209</v>
      </c>
      <c r="B166" t="e">
        <f>VLOOKUP(A166,[1]!Tabela1[[PLACA]:[STATUS]],2,0)</f>
        <v>#N/A</v>
      </c>
      <c r="C166" s="2" t="e">
        <v>#N/A</v>
      </c>
      <c r="D166" t="e">
        <f t="shared" ca="1" si="2"/>
        <v>#N/A</v>
      </c>
      <c r="K166" t="s">
        <v>174</v>
      </c>
      <c r="L166" t="s">
        <v>11</v>
      </c>
      <c r="M166" t="s">
        <v>23</v>
      </c>
      <c r="N166" t="s">
        <v>24</v>
      </c>
      <c r="O166" t="s">
        <v>146</v>
      </c>
      <c r="P166" t="s">
        <v>217</v>
      </c>
      <c r="Q166" s="2"/>
      <c r="R166" s="2"/>
    </row>
    <row r="167" spans="1:18" x14ac:dyDescent="0.3">
      <c r="A167" t="s">
        <v>210</v>
      </c>
      <c r="B167" t="e">
        <f>VLOOKUP(A167,[1]!Tabela1[[PLACA]:[STATUS]],2,0)</f>
        <v>#N/A</v>
      </c>
      <c r="C167" s="2" t="e">
        <v>#N/A</v>
      </c>
      <c r="D167" t="e">
        <f t="shared" ca="1" si="2"/>
        <v>#N/A</v>
      </c>
      <c r="K167" t="s">
        <v>174</v>
      </c>
      <c r="L167" t="s">
        <v>11</v>
      </c>
      <c r="M167" t="s">
        <v>23</v>
      </c>
      <c r="N167" t="s">
        <v>24</v>
      </c>
      <c r="O167" t="s">
        <v>146</v>
      </c>
      <c r="P167" t="s">
        <v>217</v>
      </c>
      <c r="Q167" s="2"/>
      <c r="R167" s="2"/>
    </row>
    <row r="168" spans="1:18" x14ac:dyDescent="0.3">
      <c r="A168" t="s">
        <v>211</v>
      </c>
      <c r="B168" t="str">
        <f>VLOOKUP(A168,[1]!Tabela1[[PLACA]:[STATUS]],2,0)</f>
        <v>OK</v>
      </c>
      <c r="C168" s="2" t="e">
        <v>#N/A</v>
      </c>
      <c r="D168" t="e">
        <f t="shared" ca="1" si="2"/>
        <v>#N/A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469</v>
      </c>
      <c r="K168" t="s">
        <v>174</v>
      </c>
      <c r="L168" t="s">
        <v>11</v>
      </c>
      <c r="M168" t="s">
        <v>23</v>
      </c>
      <c r="N168" t="s">
        <v>24</v>
      </c>
      <c r="O168" t="s">
        <v>146</v>
      </c>
      <c r="P168" t="s">
        <v>217</v>
      </c>
      <c r="Q168" s="2">
        <v>46310</v>
      </c>
      <c r="R168" s="2">
        <v>46310</v>
      </c>
    </row>
    <row r="169" spans="1:18" x14ac:dyDescent="0.3">
      <c r="A169" t="s">
        <v>212</v>
      </c>
      <c r="B169" t="str">
        <f>VLOOKUP(A169,[1]!Tabela1[[PLACA]:[STATUS]],2,0)</f>
        <v>OK</v>
      </c>
      <c r="C169" s="2" t="e">
        <v>#N/A</v>
      </c>
      <c r="D169" t="e">
        <f t="shared" ca="1" si="2"/>
        <v>#N/A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184</v>
      </c>
      <c r="K169" t="s">
        <v>22</v>
      </c>
      <c r="L169" t="s">
        <v>11</v>
      </c>
      <c r="M169" t="s">
        <v>23</v>
      </c>
      <c r="N169" t="s">
        <v>24</v>
      </c>
      <c r="O169" t="s">
        <v>153</v>
      </c>
      <c r="P169" t="s">
        <v>217</v>
      </c>
      <c r="Q169" s="2"/>
      <c r="R169" s="2"/>
    </row>
    <row r="170" spans="1:18" x14ac:dyDescent="0.3">
      <c r="A170" t="s">
        <v>213</v>
      </c>
      <c r="B170" t="str">
        <f>VLOOKUP(A170,[1]!Tabela1[[PLACA]:[STATUS]],2,0)</f>
        <v>OK</v>
      </c>
      <c r="C170" s="2" t="e">
        <v>#N/A</v>
      </c>
      <c r="D170" t="e">
        <f t="shared" ca="1" si="2"/>
        <v>#N/A</v>
      </c>
      <c r="E170" t="s">
        <v>469</v>
      </c>
      <c r="K170" t="s">
        <v>22</v>
      </c>
      <c r="L170" t="s">
        <v>11</v>
      </c>
      <c r="M170" t="s">
        <v>23</v>
      </c>
      <c r="N170" t="s">
        <v>24</v>
      </c>
      <c r="O170" t="s">
        <v>146</v>
      </c>
      <c r="P170" t="s">
        <v>217</v>
      </c>
      <c r="Q170" s="2">
        <v>46310</v>
      </c>
      <c r="R170" s="2">
        <v>46310</v>
      </c>
    </row>
    <row r="171" spans="1:18" x14ac:dyDescent="0.3">
      <c r="A171" t="s">
        <v>214</v>
      </c>
      <c r="B171" t="e">
        <f>VLOOKUP(A171,[1]!Tabela1[[PLACA]:[STATUS]],2,0)</f>
        <v>#N/A</v>
      </c>
      <c r="C171" s="2" t="e">
        <v>#N/A</v>
      </c>
      <c r="D171" t="e">
        <f t="shared" ca="1" si="2"/>
        <v>#N/A</v>
      </c>
      <c r="K171" t="s">
        <v>22</v>
      </c>
      <c r="L171" t="s">
        <v>11</v>
      </c>
      <c r="M171" t="s">
        <v>23</v>
      </c>
      <c r="N171" t="s">
        <v>24</v>
      </c>
      <c r="O171" t="s">
        <v>146</v>
      </c>
      <c r="P171" t="s">
        <v>217</v>
      </c>
      <c r="Q171" s="2"/>
      <c r="R171" s="2"/>
    </row>
    <row r="172" spans="1:18" x14ac:dyDescent="0.3">
      <c r="A172" t="s">
        <v>215</v>
      </c>
      <c r="B172" t="e">
        <f>VLOOKUP(A172,[1]!Tabela1[[PLACA]:[STATUS]],2,0)</f>
        <v>#N/A</v>
      </c>
      <c r="C172" s="2" t="e">
        <v>#N/A</v>
      </c>
      <c r="D172" t="e">
        <f t="shared" ca="1" si="2"/>
        <v>#N/A</v>
      </c>
      <c r="K172" t="s">
        <v>22</v>
      </c>
      <c r="L172" t="s">
        <v>11</v>
      </c>
      <c r="M172" t="s">
        <v>23</v>
      </c>
      <c r="N172" t="s">
        <v>24</v>
      </c>
      <c r="O172" t="s">
        <v>146</v>
      </c>
      <c r="P172" t="s">
        <v>217</v>
      </c>
      <c r="Q172" s="2"/>
      <c r="R172" s="2"/>
    </row>
    <row r="173" spans="1:18" x14ac:dyDescent="0.3">
      <c r="A173" t="s">
        <v>226</v>
      </c>
      <c r="B173" t="str">
        <f>VLOOKUP(A173,[1]!Tabela1[[PLACA]:[STATUS]],2,0)</f>
        <v>OK</v>
      </c>
      <c r="C173" s="2">
        <v>46300</v>
      </c>
      <c r="D173">
        <f t="shared" ca="1" si="2"/>
        <v>-14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184</v>
      </c>
      <c r="K173" t="s">
        <v>32</v>
      </c>
      <c r="L173" t="s">
        <v>33</v>
      </c>
      <c r="M173" t="s">
        <v>23</v>
      </c>
      <c r="N173" t="s">
        <v>34</v>
      </c>
      <c r="O173" t="s">
        <v>446</v>
      </c>
      <c r="Q173" s="2">
        <v>46023</v>
      </c>
      <c r="R173" s="2">
        <v>46023</v>
      </c>
    </row>
    <row r="174" spans="1:18" x14ac:dyDescent="0.3">
      <c r="A174" t="s">
        <v>227</v>
      </c>
      <c r="B174" t="str">
        <f>VLOOKUP(A174,[1]!Tabela1[[PLACA]:[STATUS]],2,0)</f>
        <v>OK</v>
      </c>
      <c r="C174" s="2">
        <v>46310</v>
      </c>
      <c r="D174">
        <f t="shared" ca="1" si="2"/>
        <v>-4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184</v>
      </c>
      <c r="K174" t="s">
        <v>32</v>
      </c>
      <c r="L174" t="s">
        <v>33</v>
      </c>
      <c r="M174" t="s">
        <v>23</v>
      </c>
      <c r="N174" t="s">
        <v>34</v>
      </c>
      <c r="O174" t="s">
        <v>446</v>
      </c>
      <c r="Q174" s="2">
        <v>46023</v>
      </c>
      <c r="R174" s="2">
        <v>46023</v>
      </c>
    </row>
    <row r="175" spans="1:18" x14ac:dyDescent="0.3">
      <c r="A175" t="s">
        <v>228</v>
      </c>
      <c r="B175" t="str">
        <f>VLOOKUP(A175,[1]!Tabela1[[PLACA]:[STATUS]],2,0)</f>
        <v>OK</v>
      </c>
      <c r="C175" s="2">
        <v>46299</v>
      </c>
      <c r="D175">
        <f t="shared" ca="1" si="2"/>
        <v>-15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184</v>
      </c>
      <c r="K175" t="s">
        <v>32</v>
      </c>
      <c r="L175" t="s">
        <v>33</v>
      </c>
      <c r="M175" t="s">
        <v>23</v>
      </c>
      <c r="N175" t="s">
        <v>34</v>
      </c>
      <c r="O175" t="s">
        <v>446</v>
      </c>
      <c r="Q175" s="2">
        <v>46023</v>
      </c>
      <c r="R175" s="2">
        <v>46023</v>
      </c>
    </row>
    <row r="176" spans="1:18" x14ac:dyDescent="0.3">
      <c r="A176" t="s">
        <v>229</v>
      </c>
      <c r="B176" t="str">
        <f>VLOOKUP(A176,[1]!Tabela1[[PLACA]:[STATUS]],2,0)</f>
        <v>OK</v>
      </c>
      <c r="C176" s="2">
        <v>46305</v>
      </c>
      <c r="D176">
        <f t="shared" ca="1" si="2"/>
        <v>-9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184</v>
      </c>
      <c r="K176" t="s">
        <v>32</v>
      </c>
      <c r="L176" t="s">
        <v>33</v>
      </c>
      <c r="M176" t="s">
        <v>23</v>
      </c>
      <c r="N176" t="s">
        <v>34</v>
      </c>
      <c r="O176" t="s">
        <v>446</v>
      </c>
      <c r="Q176" s="2">
        <v>46023</v>
      </c>
      <c r="R176" s="2">
        <v>46023</v>
      </c>
    </row>
    <row r="177" spans="1:18" x14ac:dyDescent="0.3">
      <c r="A177" t="s">
        <v>230</v>
      </c>
      <c r="B177" t="str">
        <f>VLOOKUP(A177,[1]!Tabela1[[PLACA]:[STATUS]],2,0)</f>
        <v>OK</v>
      </c>
      <c r="C177" s="2">
        <v>46304</v>
      </c>
      <c r="D177">
        <f t="shared" ca="1" si="2"/>
        <v>-10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184</v>
      </c>
      <c r="K177" t="s">
        <v>32</v>
      </c>
      <c r="L177" t="s">
        <v>33</v>
      </c>
      <c r="M177" t="s">
        <v>23</v>
      </c>
      <c r="N177" t="s">
        <v>24</v>
      </c>
      <c r="O177" t="s">
        <v>447</v>
      </c>
      <c r="Q177" s="2">
        <v>46023</v>
      </c>
      <c r="R177" s="2">
        <v>46023</v>
      </c>
    </row>
    <row r="178" spans="1:18" x14ac:dyDescent="0.3">
      <c r="A178" t="s">
        <v>231</v>
      </c>
      <c r="B178" t="str">
        <f>VLOOKUP(A178,[1]!Tabela1[[PLACA]:[STATUS]],2,0)</f>
        <v>OK</v>
      </c>
      <c r="C178" s="2">
        <v>46310</v>
      </c>
      <c r="D178">
        <f t="shared" ca="1" si="2"/>
        <v>-4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184</v>
      </c>
      <c r="K178" t="s">
        <v>32</v>
      </c>
      <c r="L178" t="s">
        <v>33</v>
      </c>
      <c r="M178" t="s">
        <v>23</v>
      </c>
      <c r="N178" t="s">
        <v>24</v>
      </c>
      <c r="O178" t="s">
        <v>447</v>
      </c>
      <c r="Q178" s="2">
        <v>46023</v>
      </c>
      <c r="R178" s="2">
        <v>46023</v>
      </c>
    </row>
    <row r="179" spans="1:18" x14ac:dyDescent="0.3">
      <c r="A179" t="s">
        <v>232</v>
      </c>
      <c r="B179" t="str">
        <f>VLOOKUP(A179,[1]!Tabela1[[PLACA]:[STATUS]],2,0)</f>
        <v>OK</v>
      </c>
      <c r="C179" s="2">
        <v>46310</v>
      </c>
      <c r="D179">
        <f t="shared" ca="1" si="2"/>
        <v>-4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184</v>
      </c>
      <c r="K179" t="s">
        <v>118</v>
      </c>
      <c r="L179" t="s">
        <v>33</v>
      </c>
      <c r="M179" t="s">
        <v>12</v>
      </c>
      <c r="N179" t="s">
        <v>178</v>
      </c>
      <c r="O179" t="s">
        <v>448</v>
      </c>
      <c r="Q179" s="2">
        <v>46023</v>
      </c>
      <c r="R179" s="2">
        <v>46023</v>
      </c>
    </row>
    <row r="180" spans="1:18" x14ac:dyDescent="0.3">
      <c r="A180" t="s">
        <v>233</v>
      </c>
      <c r="B180" t="str">
        <f>VLOOKUP(A180,[1]!Tabela1[[PLACA]:[STATUS]],2,0)</f>
        <v>OK</v>
      </c>
      <c r="C180" s="2">
        <v>46310</v>
      </c>
      <c r="D180">
        <f t="shared" ca="1" si="2"/>
        <v>-4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184</v>
      </c>
      <c r="K180" t="s">
        <v>118</v>
      </c>
      <c r="L180" t="s">
        <v>33</v>
      </c>
      <c r="M180" t="s">
        <v>12</v>
      </c>
      <c r="N180" t="s">
        <v>178</v>
      </c>
      <c r="O180" t="s">
        <v>448</v>
      </c>
      <c r="Q180" s="2">
        <v>46023</v>
      </c>
      <c r="R180" s="2">
        <v>46023</v>
      </c>
    </row>
    <row r="181" spans="1:18" x14ac:dyDescent="0.3">
      <c r="A181" t="s">
        <v>234</v>
      </c>
      <c r="B181" t="str">
        <f>VLOOKUP(A181,[1]!Tabela1[[PLACA]:[STATUS]],2,0)</f>
        <v>OK</v>
      </c>
      <c r="C181" s="2">
        <v>46302</v>
      </c>
      <c r="D181">
        <f t="shared" ca="1" si="2"/>
        <v>-12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184</v>
      </c>
      <c r="K181" t="s">
        <v>10</v>
      </c>
      <c r="L181" t="s">
        <v>11</v>
      </c>
      <c r="M181" t="s">
        <v>12</v>
      </c>
      <c r="N181" t="s">
        <v>178</v>
      </c>
      <c r="O181" t="s">
        <v>448</v>
      </c>
      <c r="Q181" s="2">
        <v>46023</v>
      </c>
      <c r="R181" s="2">
        <v>46023</v>
      </c>
    </row>
    <row r="182" spans="1:18" x14ac:dyDescent="0.3">
      <c r="A182" t="s">
        <v>235</v>
      </c>
      <c r="B182" t="str">
        <f>VLOOKUP(A182,[1]!Tabela1[[PLACA]:[STATUS]],2,0)</f>
        <v>OK</v>
      </c>
      <c r="C182" s="2">
        <v>46310</v>
      </c>
      <c r="D182">
        <f t="shared" ca="1" si="2"/>
        <v>-4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184</v>
      </c>
      <c r="K182" t="s">
        <v>10</v>
      </c>
      <c r="L182" t="s">
        <v>11</v>
      </c>
      <c r="M182" t="s">
        <v>12</v>
      </c>
      <c r="N182" t="s">
        <v>178</v>
      </c>
      <c r="O182" t="s">
        <v>448</v>
      </c>
      <c r="Q182" s="2">
        <v>46023</v>
      </c>
      <c r="R182" s="2">
        <v>46023</v>
      </c>
    </row>
    <row r="183" spans="1:18" x14ac:dyDescent="0.3">
      <c r="A183" t="s">
        <v>236</v>
      </c>
      <c r="B183" t="str">
        <f>VLOOKUP(A183,[1]!Tabela1[[PLACA]:[STATUS]],2,0)</f>
        <v>OK</v>
      </c>
      <c r="C183" s="2">
        <v>46303</v>
      </c>
      <c r="D183">
        <f t="shared" ca="1" si="2"/>
        <v>-11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184</v>
      </c>
      <c r="K183" t="s">
        <v>225</v>
      </c>
      <c r="L183" t="s">
        <v>11</v>
      </c>
      <c r="M183" t="s">
        <v>29</v>
      </c>
      <c r="N183" t="s">
        <v>119</v>
      </c>
      <c r="O183" t="s">
        <v>449</v>
      </c>
      <c r="Q183" s="2">
        <v>46023</v>
      </c>
      <c r="R183" s="2">
        <v>46023</v>
      </c>
    </row>
    <row r="184" spans="1:18" x14ac:dyDescent="0.3">
      <c r="A184" t="s">
        <v>237</v>
      </c>
      <c r="B184" t="str">
        <f>VLOOKUP(A184,[1]!Tabela1[[PLACA]:[STATUS]],2,0)</f>
        <v>OK</v>
      </c>
      <c r="C184" s="2">
        <v>46266</v>
      </c>
      <c r="D184">
        <f t="shared" ca="1" si="2"/>
        <v>-48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184</v>
      </c>
      <c r="K184" t="s">
        <v>32</v>
      </c>
      <c r="L184" t="s">
        <v>33</v>
      </c>
      <c r="M184" t="s">
        <v>29</v>
      </c>
      <c r="N184" t="s">
        <v>466</v>
      </c>
      <c r="O184" t="s">
        <v>450</v>
      </c>
      <c r="Q184" s="2">
        <v>46023</v>
      </c>
      <c r="R184" s="2">
        <v>46023</v>
      </c>
    </row>
    <row r="185" spans="1:18" x14ac:dyDescent="0.3">
      <c r="A185" t="s">
        <v>238</v>
      </c>
      <c r="B185" t="str">
        <f>VLOOKUP(A185,[1]!Tabela1[[PLACA]:[STATUS]],2,0)</f>
        <v>OK</v>
      </c>
      <c r="C185" s="2">
        <v>46310</v>
      </c>
      <c r="D185">
        <f t="shared" ca="1" si="2"/>
        <v>-4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184</v>
      </c>
      <c r="K185" t="s">
        <v>32</v>
      </c>
      <c r="L185" t="s">
        <v>33</v>
      </c>
      <c r="M185" t="s">
        <v>29</v>
      </c>
      <c r="N185" t="s">
        <v>466</v>
      </c>
      <c r="O185" t="s">
        <v>450</v>
      </c>
      <c r="Q185" s="2">
        <v>46023</v>
      </c>
      <c r="R185" s="2">
        <v>46023</v>
      </c>
    </row>
    <row r="186" spans="1:18" x14ac:dyDescent="0.3">
      <c r="A186" t="s">
        <v>239</v>
      </c>
      <c r="B186" t="str">
        <f>VLOOKUP(A186,[1]!Tabela1[[PLACA]:[STATUS]],2,0)</f>
        <v>OK</v>
      </c>
      <c r="C186" s="2">
        <v>46301</v>
      </c>
      <c r="D186">
        <f t="shared" ca="1" si="2"/>
        <v>-13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184</v>
      </c>
      <c r="K186" t="s">
        <v>118</v>
      </c>
      <c r="L186" t="s">
        <v>33</v>
      </c>
      <c r="M186" t="s">
        <v>12</v>
      </c>
      <c r="N186" t="s">
        <v>24</v>
      </c>
      <c r="O186" t="s">
        <v>451</v>
      </c>
      <c r="Q186" s="2">
        <v>46023</v>
      </c>
      <c r="R186" s="2">
        <v>46023</v>
      </c>
    </row>
    <row r="187" spans="1:18" x14ac:dyDescent="0.3">
      <c r="A187" t="s">
        <v>240</v>
      </c>
      <c r="B187" t="str">
        <f>VLOOKUP(A187,[1]!Tabela1[[PLACA]:[STATUS]],2,0)</f>
        <v>OK</v>
      </c>
      <c r="C187" s="2">
        <v>46304</v>
      </c>
      <c r="D187">
        <f t="shared" ca="1" si="2"/>
        <v>-10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184</v>
      </c>
      <c r="K187" t="s">
        <v>118</v>
      </c>
      <c r="L187" t="s">
        <v>33</v>
      </c>
      <c r="M187" t="s">
        <v>12</v>
      </c>
      <c r="N187" t="s">
        <v>24</v>
      </c>
      <c r="O187" t="s">
        <v>451</v>
      </c>
      <c r="Q187" s="2">
        <v>46023</v>
      </c>
      <c r="R187" s="2">
        <v>46023</v>
      </c>
    </row>
    <row r="188" spans="1:18" x14ac:dyDescent="0.3">
      <c r="A188" t="s">
        <v>241</v>
      </c>
      <c r="B188" t="str">
        <f>VLOOKUP(A188,[1]!Tabela1[[PLACA]:[STATUS]],2,0)</f>
        <v>OK</v>
      </c>
      <c r="C188" s="2">
        <v>46310</v>
      </c>
      <c r="D188">
        <f t="shared" ca="1" si="2"/>
        <v>-4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184</v>
      </c>
      <c r="K188" t="s">
        <v>118</v>
      </c>
      <c r="L188" t="s">
        <v>33</v>
      </c>
      <c r="M188" t="s">
        <v>29</v>
      </c>
      <c r="N188" t="s">
        <v>24</v>
      </c>
      <c r="O188" t="s">
        <v>449</v>
      </c>
      <c r="Q188" s="2">
        <v>46023</v>
      </c>
      <c r="R188" s="2">
        <v>46023</v>
      </c>
    </row>
    <row r="189" spans="1:18" x14ac:dyDescent="0.3">
      <c r="A189" t="s">
        <v>242</v>
      </c>
      <c r="B189" t="str">
        <f>VLOOKUP(A189,[1]!Tabela1[[PLACA]:[STATUS]],2,0)</f>
        <v>OK</v>
      </c>
      <c r="C189" s="2">
        <v>46310</v>
      </c>
      <c r="D189">
        <f t="shared" ca="1" si="2"/>
        <v>-4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184</v>
      </c>
      <c r="K189" t="s">
        <v>118</v>
      </c>
      <c r="L189" t="s">
        <v>33</v>
      </c>
      <c r="M189" t="s">
        <v>12</v>
      </c>
      <c r="N189" t="s">
        <v>24</v>
      </c>
      <c r="O189" t="s">
        <v>451</v>
      </c>
      <c r="Q189" s="2">
        <v>46023</v>
      </c>
      <c r="R189" s="2">
        <v>46023</v>
      </c>
    </row>
    <row r="190" spans="1:18" x14ac:dyDescent="0.3">
      <c r="A190" t="s">
        <v>243</v>
      </c>
      <c r="B190" t="str">
        <f>VLOOKUP(A190,[1]!Tabela1[[PLACA]:[STATUS]],2,0)</f>
        <v>OK</v>
      </c>
      <c r="C190" s="2">
        <v>46310</v>
      </c>
      <c r="D190">
        <f t="shared" ca="1" si="2"/>
        <v>-4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184</v>
      </c>
      <c r="K190" t="s">
        <v>45</v>
      </c>
      <c r="L190" t="s">
        <v>11</v>
      </c>
      <c r="M190" t="s">
        <v>23</v>
      </c>
      <c r="N190" t="s">
        <v>467</v>
      </c>
      <c r="O190" t="s">
        <v>452</v>
      </c>
      <c r="Q190" s="2">
        <v>46023</v>
      </c>
      <c r="R190" s="2">
        <v>46023</v>
      </c>
    </row>
    <row r="191" spans="1:18" x14ac:dyDescent="0.3">
      <c r="A191" t="s">
        <v>244</v>
      </c>
      <c r="B191" t="str">
        <f>VLOOKUP(A191,[1]!Tabela1[[PLACA]:[STATUS]],2,0)</f>
        <v>OK</v>
      </c>
      <c r="C191" s="2">
        <v>46310</v>
      </c>
      <c r="D191">
        <f t="shared" ca="1" si="2"/>
        <v>-4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184</v>
      </c>
      <c r="K191" t="s">
        <v>10</v>
      </c>
      <c r="L191" t="s">
        <v>11</v>
      </c>
      <c r="M191" t="s">
        <v>12</v>
      </c>
      <c r="N191" t="s">
        <v>178</v>
      </c>
      <c r="O191" t="s">
        <v>448</v>
      </c>
      <c r="Q191" s="2">
        <v>46023</v>
      </c>
      <c r="R191" s="2">
        <v>46023</v>
      </c>
    </row>
    <row r="192" spans="1:18" x14ac:dyDescent="0.3">
      <c r="A192" t="s">
        <v>245</v>
      </c>
      <c r="B192" t="str">
        <f>VLOOKUP(A192,[1]!Tabela1[[PLACA]:[STATUS]],2,0)</f>
        <v>OK</v>
      </c>
      <c r="C192" s="2">
        <v>46301</v>
      </c>
      <c r="D192">
        <f t="shared" ca="1" si="2"/>
        <v>-13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184</v>
      </c>
      <c r="K192" t="s">
        <v>10</v>
      </c>
      <c r="L192" t="s">
        <v>11</v>
      </c>
      <c r="M192" t="s">
        <v>23</v>
      </c>
      <c r="N192" t="s">
        <v>119</v>
      </c>
      <c r="O192" t="s">
        <v>120</v>
      </c>
      <c r="Q192" s="2">
        <v>46023</v>
      </c>
      <c r="R192" s="2">
        <v>46023</v>
      </c>
    </row>
    <row r="193" spans="1:18" x14ac:dyDescent="0.3">
      <c r="A193" t="s">
        <v>246</v>
      </c>
      <c r="B193" t="str">
        <f>VLOOKUP(A193,[1]!Tabela1[[PLACA]:[STATUS]],2,0)</f>
        <v>OK</v>
      </c>
      <c r="C193" s="2">
        <v>46309</v>
      </c>
      <c r="D193">
        <f t="shared" ref="D193:D256" ca="1" si="3">C193-$S$1</f>
        <v>-5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184</v>
      </c>
      <c r="K193" t="s">
        <v>464</v>
      </c>
      <c r="L193" t="s">
        <v>11</v>
      </c>
      <c r="M193" t="s">
        <v>12</v>
      </c>
      <c r="N193" t="s">
        <v>119</v>
      </c>
      <c r="O193" t="s">
        <v>451</v>
      </c>
      <c r="Q193" s="2">
        <v>46023</v>
      </c>
      <c r="R193" s="2">
        <v>46023</v>
      </c>
    </row>
    <row r="194" spans="1:18" x14ac:dyDescent="0.3">
      <c r="A194" t="s">
        <v>247</v>
      </c>
      <c r="B194" t="str">
        <f>VLOOKUP(A194,[1]!Tabela1[[PLACA]:[STATUS]],2,0)</f>
        <v>OK</v>
      </c>
      <c r="C194" s="2">
        <v>46303</v>
      </c>
      <c r="D194">
        <f t="shared" ca="1" si="3"/>
        <v>-11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184</v>
      </c>
      <c r="K194" t="s">
        <v>22</v>
      </c>
      <c r="L194" t="s">
        <v>11</v>
      </c>
      <c r="M194" t="s">
        <v>29</v>
      </c>
      <c r="N194" t="s">
        <v>119</v>
      </c>
      <c r="O194" t="s">
        <v>449</v>
      </c>
      <c r="Q194" s="2">
        <v>46023</v>
      </c>
      <c r="R194" s="2">
        <v>46023</v>
      </c>
    </row>
    <row r="195" spans="1:18" x14ac:dyDescent="0.3">
      <c r="A195" t="s">
        <v>248</v>
      </c>
      <c r="B195" t="str">
        <f>VLOOKUP(A195,[1]!Tabela1[[PLACA]:[STATUS]],2,0)</f>
        <v>OK</v>
      </c>
      <c r="C195" s="2">
        <v>46304</v>
      </c>
      <c r="D195">
        <f t="shared" ca="1" si="3"/>
        <v>-10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184</v>
      </c>
      <c r="K195" t="s">
        <v>118</v>
      </c>
      <c r="L195" t="s">
        <v>33</v>
      </c>
      <c r="M195" t="s">
        <v>12</v>
      </c>
      <c r="N195" t="s">
        <v>24</v>
      </c>
      <c r="O195" t="s">
        <v>451</v>
      </c>
      <c r="Q195" s="2">
        <v>46023</v>
      </c>
      <c r="R195" s="2">
        <v>46023</v>
      </c>
    </row>
    <row r="196" spans="1:18" x14ac:dyDescent="0.3">
      <c r="A196" t="s">
        <v>249</v>
      </c>
      <c r="B196" t="str">
        <f>VLOOKUP(A196,[1]!Tabela1[[PLACA]:[STATUS]],2,0)</f>
        <v>OK</v>
      </c>
      <c r="C196" s="2" t="e">
        <v>#N/A</v>
      </c>
      <c r="D196" t="e">
        <f t="shared" ca="1" si="3"/>
        <v>#N/A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184</v>
      </c>
      <c r="K196" t="s">
        <v>10</v>
      </c>
      <c r="L196" t="s">
        <v>11</v>
      </c>
      <c r="M196" t="s">
        <v>29</v>
      </c>
      <c r="N196" t="s">
        <v>468</v>
      </c>
      <c r="O196" t="s">
        <v>450</v>
      </c>
      <c r="Q196" s="2">
        <v>46023</v>
      </c>
      <c r="R196" s="2">
        <v>46023</v>
      </c>
    </row>
    <row r="197" spans="1:18" x14ac:dyDescent="0.3">
      <c r="A197" t="s">
        <v>250</v>
      </c>
      <c r="B197" t="str">
        <f>VLOOKUP(A197,[1]!Tabela1[[PLACA]:[STATUS]],2,0)</f>
        <v>OK</v>
      </c>
      <c r="C197" s="2" t="e">
        <v>#N/A</v>
      </c>
      <c r="D197" t="e">
        <f t="shared" ca="1" si="3"/>
        <v>#N/A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184</v>
      </c>
      <c r="K197" t="s">
        <v>10</v>
      </c>
      <c r="L197" t="s">
        <v>11</v>
      </c>
      <c r="M197" t="s">
        <v>29</v>
      </c>
      <c r="N197" t="s">
        <v>468</v>
      </c>
      <c r="O197" t="s">
        <v>453</v>
      </c>
      <c r="Q197" s="2">
        <v>46023</v>
      </c>
      <c r="R197" s="2">
        <v>46023</v>
      </c>
    </row>
    <row r="198" spans="1:18" x14ac:dyDescent="0.3">
      <c r="A198" t="s">
        <v>251</v>
      </c>
      <c r="B198" t="str">
        <f>VLOOKUP(A198,[1]!Tabela1[[PLACA]:[STATUS]],2,0)</f>
        <v>OK</v>
      </c>
      <c r="C198" s="2">
        <v>46167</v>
      </c>
      <c r="D198">
        <f t="shared" ca="1" si="3"/>
        <v>-147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184</v>
      </c>
      <c r="K198" t="s">
        <v>32</v>
      </c>
      <c r="L198" t="s">
        <v>33</v>
      </c>
      <c r="M198" t="s">
        <v>23</v>
      </c>
      <c r="N198" t="s">
        <v>34</v>
      </c>
      <c r="O198" t="s">
        <v>446</v>
      </c>
      <c r="Q198" s="2">
        <v>46023</v>
      </c>
      <c r="R198" s="2">
        <v>46023</v>
      </c>
    </row>
    <row r="199" spans="1:18" x14ac:dyDescent="0.3">
      <c r="A199" t="s">
        <v>252</v>
      </c>
      <c r="B199" t="str">
        <f>VLOOKUP(A199,[1]!Tabela1[[PLACA]:[STATUS]],2,0)</f>
        <v>OK</v>
      </c>
      <c r="C199" s="2">
        <v>46286</v>
      </c>
      <c r="D199">
        <f t="shared" ca="1" si="3"/>
        <v>-28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184</v>
      </c>
      <c r="K199" t="s">
        <v>32</v>
      </c>
      <c r="L199" t="s">
        <v>33</v>
      </c>
      <c r="M199" t="s">
        <v>23</v>
      </c>
      <c r="N199" t="s">
        <v>34</v>
      </c>
      <c r="O199" t="s">
        <v>446</v>
      </c>
      <c r="Q199" s="2">
        <v>46023</v>
      </c>
      <c r="R199" s="2">
        <v>46023</v>
      </c>
    </row>
    <row r="200" spans="1:18" x14ac:dyDescent="0.3">
      <c r="A200" t="s">
        <v>253</v>
      </c>
      <c r="B200" t="str">
        <f>VLOOKUP(A200,[1]!Tabela1[[PLACA]:[STATUS]],2,0)</f>
        <v>OK</v>
      </c>
      <c r="C200" s="2">
        <v>46281</v>
      </c>
      <c r="D200">
        <f t="shared" ca="1" si="3"/>
        <v>-33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184</v>
      </c>
      <c r="K200" t="s">
        <v>32</v>
      </c>
      <c r="L200" t="s">
        <v>33</v>
      </c>
      <c r="M200" t="s">
        <v>23</v>
      </c>
      <c r="N200" t="s">
        <v>34</v>
      </c>
      <c r="O200" t="s">
        <v>446</v>
      </c>
      <c r="Q200" s="2">
        <v>46023</v>
      </c>
      <c r="R200" s="2">
        <v>46023</v>
      </c>
    </row>
    <row r="201" spans="1:18" x14ac:dyDescent="0.3">
      <c r="A201" t="s">
        <v>254</v>
      </c>
      <c r="B201" t="str">
        <f>VLOOKUP(A201,[1]!Tabela1[[PLACA]:[STATUS]],2,0)</f>
        <v>OK</v>
      </c>
      <c r="C201" s="2">
        <v>46299</v>
      </c>
      <c r="D201">
        <f t="shared" ca="1" si="3"/>
        <v>-15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184</v>
      </c>
      <c r="K201" t="s">
        <v>22</v>
      </c>
      <c r="L201" t="s">
        <v>11</v>
      </c>
      <c r="M201" t="s">
        <v>29</v>
      </c>
      <c r="N201" t="s">
        <v>34</v>
      </c>
      <c r="O201" t="s">
        <v>454</v>
      </c>
      <c r="Q201" s="2">
        <v>46023</v>
      </c>
      <c r="R201" s="2">
        <v>46023</v>
      </c>
    </row>
    <row r="202" spans="1:18" x14ac:dyDescent="0.3">
      <c r="A202" t="s">
        <v>255</v>
      </c>
      <c r="B202" t="str">
        <f>VLOOKUP(A202,[1]!Tabela1[[PLACA]:[STATUS]],2,0)</f>
        <v>OK</v>
      </c>
      <c r="C202" s="2">
        <v>46037</v>
      </c>
      <c r="D202">
        <f t="shared" ca="1" si="3"/>
        <v>-277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184</v>
      </c>
      <c r="K202" t="s">
        <v>22</v>
      </c>
      <c r="L202" t="s">
        <v>11</v>
      </c>
      <c r="M202" t="s">
        <v>29</v>
      </c>
      <c r="N202" t="s">
        <v>34</v>
      </c>
      <c r="O202" t="s">
        <v>454</v>
      </c>
      <c r="Q202" s="2">
        <v>46023</v>
      </c>
      <c r="R202" s="2">
        <v>46023</v>
      </c>
    </row>
    <row r="203" spans="1:18" x14ac:dyDescent="0.3">
      <c r="A203" t="s">
        <v>256</v>
      </c>
      <c r="B203" t="str">
        <f>VLOOKUP(A203,[1]!Tabela1[[PLACA]:[STATUS]],2,0)</f>
        <v>OK</v>
      </c>
      <c r="C203" s="2">
        <v>46310</v>
      </c>
      <c r="D203">
        <f t="shared" ca="1" si="3"/>
        <v>-4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184</v>
      </c>
      <c r="K203" t="s">
        <v>22</v>
      </c>
      <c r="L203" t="s">
        <v>11</v>
      </c>
      <c r="M203" t="s">
        <v>29</v>
      </c>
      <c r="N203" t="s">
        <v>34</v>
      </c>
      <c r="O203" t="s">
        <v>454</v>
      </c>
      <c r="Q203" s="2">
        <v>46023</v>
      </c>
      <c r="R203" s="2">
        <v>46023</v>
      </c>
    </row>
    <row r="204" spans="1:18" x14ac:dyDescent="0.3">
      <c r="A204" t="s">
        <v>257</v>
      </c>
      <c r="B204" t="str">
        <f>VLOOKUP(A204,[1]!Tabela1[[PLACA]:[STATUS]],2,0)</f>
        <v>OK</v>
      </c>
      <c r="C204" s="2">
        <v>46310</v>
      </c>
      <c r="D204">
        <f t="shared" ca="1" si="3"/>
        <v>-4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184</v>
      </c>
      <c r="K204" t="s">
        <v>22</v>
      </c>
      <c r="L204" t="s">
        <v>11</v>
      </c>
      <c r="M204" t="s">
        <v>29</v>
      </c>
      <c r="N204" t="s">
        <v>34</v>
      </c>
      <c r="O204" t="s">
        <v>454</v>
      </c>
      <c r="Q204" s="2">
        <v>46023</v>
      </c>
      <c r="R204" s="2">
        <v>46023</v>
      </c>
    </row>
    <row r="205" spans="1:18" x14ac:dyDescent="0.3">
      <c r="A205" t="s">
        <v>258</v>
      </c>
      <c r="B205" t="str">
        <f>VLOOKUP(A205,[1]!Tabela1[[PLACA]:[STATUS]],2,0)</f>
        <v>OK</v>
      </c>
      <c r="C205" s="2">
        <v>46310</v>
      </c>
      <c r="D205">
        <f t="shared" ca="1" si="3"/>
        <v>-4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184</v>
      </c>
      <c r="K205" t="s">
        <v>28</v>
      </c>
      <c r="L205" t="s">
        <v>11</v>
      </c>
      <c r="M205" t="s">
        <v>12</v>
      </c>
      <c r="N205" t="s">
        <v>178</v>
      </c>
      <c r="O205" t="s">
        <v>451</v>
      </c>
      <c r="Q205" s="2">
        <v>46023</v>
      </c>
      <c r="R205" s="2">
        <v>46023</v>
      </c>
    </row>
    <row r="206" spans="1:18" x14ac:dyDescent="0.3">
      <c r="A206" t="s">
        <v>259</v>
      </c>
      <c r="B206" t="str">
        <f>VLOOKUP(A206,[1]!Tabela1[[PLACA]:[STATUS]],2,0)</f>
        <v>OK</v>
      </c>
      <c r="C206" s="2">
        <v>46310</v>
      </c>
      <c r="D206">
        <f t="shared" ca="1" si="3"/>
        <v>-4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184</v>
      </c>
      <c r="K206" t="s">
        <v>32</v>
      </c>
      <c r="L206" t="s">
        <v>33</v>
      </c>
      <c r="M206" t="s">
        <v>23</v>
      </c>
      <c r="N206" t="s">
        <v>24</v>
      </c>
      <c r="O206" t="s">
        <v>447</v>
      </c>
      <c r="Q206" s="2">
        <v>46023</v>
      </c>
      <c r="R206" s="2">
        <v>46023</v>
      </c>
    </row>
    <row r="207" spans="1:18" x14ac:dyDescent="0.3">
      <c r="A207" t="s">
        <v>260</v>
      </c>
      <c r="B207" t="str">
        <f>VLOOKUP(A207,[1]!Tabela1[[PLACA]:[STATUS]],2,0)</f>
        <v>OK</v>
      </c>
      <c r="C207" s="2">
        <v>46263</v>
      </c>
      <c r="D207">
        <f t="shared" ca="1" si="3"/>
        <v>-51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184</v>
      </c>
      <c r="K207" t="s">
        <v>32</v>
      </c>
      <c r="L207" t="s">
        <v>33</v>
      </c>
      <c r="M207" t="s">
        <v>23</v>
      </c>
      <c r="N207" t="s">
        <v>24</v>
      </c>
      <c r="O207" t="s">
        <v>447</v>
      </c>
      <c r="Q207" s="2">
        <v>46023</v>
      </c>
      <c r="R207" s="2">
        <v>46023</v>
      </c>
    </row>
    <row r="208" spans="1:18" x14ac:dyDescent="0.3">
      <c r="A208" t="s">
        <v>261</v>
      </c>
      <c r="B208" t="str">
        <f>VLOOKUP(A208,[1]!Tabela1[[PLACA]:[STATUS]],2,0)</f>
        <v>OK</v>
      </c>
      <c r="C208" s="2">
        <v>46310</v>
      </c>
      <c r="D208">
        <f t="shared" ca="1" si="3"/>
        <v>-4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184</v>
      </c>
      <c r="K208" t="s">
        <v>32</v>
      </c>
      <c r="L208" t="s">
        <v>33</v>
      </c>
      <c r="M208" t="s">
        <v>23</v>
      </c>
      <c r="N208" t="s">
        <v>24</v>
      </c>
      <c r="O208" t="s">
        <v>447</v>
      </c>
      <c r="Q208" s="2">
        <v>46023</v>
      </c>
      <c r="R208" s="2">
        <v>46023</v>
      </c>
    </row>
    <row r="209" spans="1:18" x14ac:dyDescent="0.3">
      <c r="A209" t="s">
        <v>262</v>
      </c>
      <c r="B209" t="str">
        <f>VLOOKUP(A209,[1]!Tabela1[[PLACA]:[STATUS]],2,0)</f>
        <v>OK</v>
      </c>
      <c r="C209" s="2">
        <v>46310</v>
      </c>
      <c r="D209">
        <f t="shared" ca="1" si="3"/>
        <v>-4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184</v>
      </c>
      <c r="K209" t="s">
        <v>32</v>
      </c>
      <c r="L209" t="s">
        <v>33</v>
      </c>
      <c r="M209" t="s">
        <v>23</v>
      </c>
      <c r="N209" t="s">
        <v>24</v>
      </c>
      <c r="O209" t="s">
        <v>447</v>
      </c>
      <c r="Q209" s="2">
        <v>46023</v>
      </c>
      <c r="R209" s="2">
        <v>46023</v>
      </c>
    </row>
    <row r="210" spans="1:18" x14ac:dyDescent="0.3">
      <c r="A210" t="s">
        <v>263</v>
      </c>
      <c r="B210" t="str">
        <f>VLOOKUP(A210,[1]!Tabela1[[PLACA]:[STATUS]],2,0)</f>
        <v>OK</v>
      </c>
      <c r="C210" s="2">
        <v>46310</v>
      </c>
      <c r="D210">
        <f t="shared" ca="1" si="3"/>
        <v>-4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184</v>
      </c>
      <c r="K210" t="s">
        <v>32</v>
      </c>
      <c r="L210" t="s">
        <v>33</v>
      </c>
      <c r="M210" t="s">
        <v>23</v>
      </c>
      <c r="N210" t="s">
        <v>24</v>
      </c>
      <c r="O210" t="s">
        <v>447</v>
      </c>
      <c r="Q210" s="2">
        <v>46023</v>
      </c>
      <c r="R210" s="2">
        <v>46023</v>
      </c>
    </row>
    <row r="211" spans="1:18" x14ac:dyDescent="0.3">
      <c r="A211" t="s">
        <v>264</v>
      </c>
      <c r="B211" t="str">
        <f>VLOOKUP(A211,[1]!Tabela1[[PLACA]:[STATUS]],2,0)</f>
        <v>OK</v>
      </c>
      <c r="C211" s="2">
        <v>46310</v>
      </c>
      <c r="D211">
        <f t="shared" ca="1" si="3"/>
        <v>-4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184</v>
      </c>
      <c r="K211" t="s">
        <v>32</v>
      </c>
      <c r="L211" t="s">
        <v>33</v>
      </c>
      <c r="M211" t="s">
        <v>23</v>
      </c>
      <c r="N211" t="s">
        <v>24</v>
      </c>
      <c r="O211" t="s">
        <v>447</v>
      </c>
      <c r="Q211" s="2">
        <v>46023</v>
      </c>
      <c r="R211" s="2">
        <v>46023</v>
      </c>
    </row>
    <row r="212" spans="1:18" x14ac:dyDescent="0.3">
      <c r="A212" t="s">
        <v>265</v>
      </c>
      <c r="B212" t="str">
        <f>VLOOKUP(A212,[1]!Tabela1[[PLACA]:[STATUS]],2,0)</f>
        <v>OK</v>
      </c>
      <c r="C212" s="2">
        <v>46310</v>
      </c>
      <c r="D212">
        <f t="shared" ca="1" si="3"/>
        <v>-4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184</v>
      </c>
      <c r="K212" t="s">
        <v>32</v>
      </c>
      <c r="L212" t="s">
        <v>33</v>
      </c>
      <c r="M212" t="s">
        <v>23</v>
      </c>
      <c r="N212" t="s">
        <v>24</v>
      </c>
      <c r="O212" t="s">
        <v>447</v>
      </c>
      <c r="Q212" s="2">
        <v>46023</v>
      </c>
      <c r="R212" s="2">
        <v>46023</v>
      </c>
    </row>
    <row r="213" spans="1:18" x14ac:dyDescent="0.3">
      <c r="A213" t="s">
        <v>266</v>
      </c>
      <c r="B213" t="str">
        <f>VLOOKUP(A213,[1]!Tabela1[[PLACA]:[STATUS]],2,0)</f>
        <v>OK</v>
      </c>
      <c r="C213" s="2">
        <v>46310</v>
      </c>
      <c r="D213">
        <f t="shared" ca="1" si="3"/>
        <v>-4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184</v>
      </c>
      <c r="K213" t="s">
        <v>32</v>
      </c>
      <c r="L213" t="s">
        <v>33</v>
      </c>
      <c r="M213" t="s">
        <v>23</v>
      </c>
      <c r="N213" t="s">
        <v>24</v>
      </c>
      <c r="O213" t="s">
        <v>447</v>
      </c>
      <c r="Q213" s="2">
        <v>46023</v>
      </c>
      <c r="R213" s="2">
        <v>46023</v>
      </c>
    </row>
    <row r="214" spans="1:18" x14ac:dyDescent="0.3">
      <c r="A214" t="s">
        <v>267</v>
      </c>
      <c r="B214" t="str">
        <f>VLOOKUP(A214,[1]!Tabela1[[PLACA]:[STATUS]],2,0)</f>
        <v>OK</v>
      </c>
      <c r="C214" s="2">
        <v>46310</v>
      </c>
      <c r="D214">
        <f t="shared" ca="1" si="3"/>
        <v>-4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184</v>
      </c>
      <c r="K214" t="s">
        <v>32</v>
      </c>
      <c r="L214" t="s">
        <v>33</v>
      </c>
      <c r="M214" t="s">
        <v>23</v>
      </c>
      <c r="N214" t="s">
        <v>24</v>
      </c>
      <c r="O214" t="s">
        <v>447</v>
      </c>
      <c r="Q214" s="2">
        <v>46023</v>
      </c>
      <c r="R214" s="2">
        <v>46023</v>
      </c>
    </row>
    <row r="215" spans="1:18" x14ac:dyDescent="0.3">
      <c r="A215" t="s">
        <v>268</v>
      </c>
      <c r="B215" t="str">
        <f>VLOOKUP(A215,[1]!Tabela1[[PLACA]:[STATUS]],2,0)</f>
        <v>OK</v>
      </c>
      <c r="C215" s="2">
        <v>46310</v>
      </c>
      <c r="D215">
        <f t="shared" ca="1" si="3"/>
        <v>-4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184</v>
      </c>
      <c r="K215" t="s">
        <v>32</v>
      </c>
      <c r="L215" t="s">
        <v>33</v>
      </c>
      <c r="M215" t="s">
        <v>23</v>
      </c>
      <c r="N215" t="s">
        <v>24</v>
      </c>
      <c r="O215" t="s">
        <v>447</v>
      </c>
      <c r="Q215" s="2">
        <v>46023</v>
      </c>
      <c r="R215" s="2">
        <v>46023</v>
      </c>
    </row>
    <row r="216" spans="1:18" x14ac:dyDescent="0.3">
      <c r="A216" t="s">
        <v>269</v>
      </c>
      <c r="B216" t="str">
        <f>VLOOKUP(A216,[1]!Tabela1[[PLACA]:[STATUS]],2,0)</f>
        <v>OK</v>
      </c>
      <c r="C216" s="2">
        <v>46300</v>
      </c>
      <c r="D216">
        <f t="shared" ca="1" si="3"/>
        <v>-14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184</v>
      </c>
      <c r="K216" t="s">
        <v>32</v>
      </c>
      <c r="L216" t="s">
        <v>33</v>
      </c>
      <c r="M216" t="s">
        <v>23</v>
      </c>
      <c r="N216" t="s">
        <v>24</v>
      </c>
      <c r="O216" t="s">
        <v>447</v>
      </c>
      <c r="Q216" s="2">
        <v>46023</v>
      </c>
      <c r="R216" s="2">
        <v>46023</v>
      </c>
    </row>
    <row r="217" spans="1:18" x14ac:dyDescent="0.3">
      <c r="A217" t="s">
        <v>270</v>
      </c>
      <c r="B217" t="str">
        <f>VLOOKUP(A217,[1]!Tabela1[[PLACA]:[STATUS]],2,0)</f>
        <v>OK</v>
      </c>
      <c r="C217" s="2">
        <v>46310</v>
      </c>
      <c r="D217">
        <f t="shared" ca="1" si="3"/>
        <v>-4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184</v>
      </c>
      <c r="K217" t="s">
        <v>118</v>
      </c>
      <c r="L217" t="s">
        <v>33</v>
      </c>
      <c r="M217" t="s">
        <v>12</v>
      </c>
      <c r="N217" t="s">
        <v>178</v>
      </c>
      <c r="O217" t="s">
        <v>455</v>
      </c>
      <c r="Q217" s="2">
        <v>46023</v>
      </c>
      <c r="R217" s="2">
        <v>46023</v>
      </c>
    </row>
    <row r="218" spans="1:18" x14ac:dyDescent="0.3">
      <c r="A218" t="s">
        <v>271</v>
      </c>
      <c r="B218" t="str">
        <f>VLOOKUP(A218,[1]!Tabela1[[PLACA]:[STATUS]],2,0)</f>
        <v>OK</v>
      </c>
      <c r="C218" s="2">
        <v>46310</v>
      </c>
      <c r="D218">
        <f t="shared" ca="1" si="3"/>
        <v>-4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184</v>
      </c>
      <c r="K218" t="s">
        <v>118</v>
      </c>
      <c r="L218" t="s">
        <v>33</v>
      </c>
      <c r="M218" t="s">
        <v>12</v>
      </c>
      <c r="N218" t="s">
        <v>178</v>
      </c>
      <c r="O218" t="s">
        <v>455</v>
      </c>
      <c r="Q218" s="2">
        <v>46023</v>
      </c>
      <c r="R218" s="2">
        <v>46023</v>
      </c>
    </row>
    <row r="219" spans="1:18" x14ac:dyDescent="0.3">
      <c r="A219" t="s">
        <v>272</v>
      </c>
      <c r="B219" t="str">
        <f>VLOOKUP(A219,[1]!Tabela1[[PLACA]:[STATUS]],2,0)</f>
        <v>OK</v>
      </c>
      <c r="C219" s="2">
        <v>46303</v>
      </c>
      <c r="D219">
        <f t="shared" ca="1" si="3"/>
        <v>-11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184</v>
      </c>
      <c r="K219" t="s">
        <v>118</v>
      </c>
      <c r="L219" t="s">
        <v>33</v>
      </c>
      <c r="M219" t="s">
        <v>12</v>
      </c>
      <c r="N219" t="s">
        <v>178</v>
      </c>
      <c r="O219" t="s">
        <v>455</v>
      </c>
      <c r="Q219" s="2">
        <v>46023</v>
      </c>
      <c r="R219" s="2">
        <v>46023</v>
      </c>
    </row>
    <row r="220" spans="1:18" x14ac:dyDescent="0.3">
      <c r="A220" t="s">
        <v>273</v>
      </c>
      <c r="B220" t="str">
        <f>VLOOKUP(A220,[1]!Tabela1[[PLACA]:[STATUS]],2,0)</f>
        <v>OK</v>
      </c>
      <c r="C220" s="2">
        <v>46285</v>
      </c>
      <c r="D220">
        <f t="shared" ca="1" si="3"/>
        <v>-29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184</v>
      </c>
      <c r="K220" t="s">
        <v>118</v>
      </c>
      <c r="L220" t="s">
        <v>33</v>
      </c>
      <c r="M220" t="s">
        <v>12</v>
      </c>
      <c r="N220" t="s">
        <v>178</v>
      </c>
      <c r="O220" t="s">
        <v>455</v>
      </c>
      <c r="Q220" s="2">
        <v>46023</v>
      </c>
      <c r="R220" s="2">
        <v>46023</v>
      </c>
    </row>
    <row r="221" spans="1:18" x14ac:dyDescent="0.3">
      <c r="A221" t="s">
        <v>274</v>
      </c>
      <c r="B221" t="str">
        <f>VLOOKUP(A221,[1]!Tabela1[[PLACA]:[STATUS]],2,0)</f>
        <v>OK</v>
      </c>
      <c r="C221" s="2">
        <v>46309</v>
      </c>
      <c r="D221">
        <f t="shared" ca="1" si="3"/>
        <v>-5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184</v>
      </c>
      <c r="K221" t="s">
        <v>118</v>
      </c>
      <c r="L221" t="s">
        <v>33</v>
      </c>
      <c r="M221" t="s">
        <v>12</v>
      </c>
      <c r="N221" t="s">
        <v>178</v>
      </c>
      <c r="O221" t="s">
        <v>448</v>
      </c>
      <c r="Q221" s="2">
        <v>46023</v>
      </c>
      <c r="R221" s="2">
        <v>46023</v>
      </c>
    </row>
    <row r="222" spans="1:18" x14ac:dyDescent="0.3">
      <c r="A222" t="s">
        <v>275</v>
      </c>
      <c r="B222" t="str">
        <f>VLOOKUP(A222,[1]!Tabela1[[PLACA]:[STATUS]],2,0)</f>
        <v>OK</v>
      </c>
      <c r="C222" s="2">
        <v>46307</v>
      </c>
      <c r="D222">
        <f t="shared" ca="1" si="3"/>
        <v>-7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184</v>
      </c>
      <c r="K222" t="s">
        <v>118</v>
      </c>
      <c r="L222" t="s">
        <v>33</v>
      </c>
      <c r="M222" t="s">
        <v>12</v>
      </c>
      <c r="N222" t="s">
        <v>178</v>
      </c>
      <c r="O222" t="s">
        <v>448</v>
      </c>
      <c r="Q222" s="2">
        <v>46023</v>
      </c>
      <c r="R222" s="2">
        <v>46023</v>
      </c>
    </row>
    <row r="223" spans="1:18" x14ac:dyDescent="0.3">
      <c r="A223" t="s">
        <v>276</v>
      </c>
      <c r="B223" t="str">
        <f>VLOOKUP(A223,[1]!Tabela1[[PLACA]:[STATUS]],2,0)</f>
        <v>OK</v>
      </c>
      <c r="C223" s="2">
        <v>46308</v>
      </c>
      <c r="D223">
        <f t="shared" ca="1" si="3"/>
        <v>-6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184</v>
      </c>
      <c r="K223" t="s">
        <v>118</v>
      </c>
      <c r="L223" t="s">
        <v>33</v>
      </c>
      <c r="M223" t="s">
        <v>12</v>
      </c>
      <c r="N223" t="s">
        <v>178</v>
      </c>
      <c r="O223" t="s">
        <v>448</v>
      </c>
      <c r="Q223" s="2">
        <v>46023</v>
      </c>
      <c r="R223" s="2">
        <v>46023</v>
      </c>
    </row>
    <row r="224" spans="1:18" x14ac:dyDescent="0.3">
      <c r="A224" t="s">
        <v>277</v>
      </c>
      <c r="B224" t="str">
        <f>VLOOKUP(A224,[1]!Tabela1[[PLACA]:[STATUS]],2,0)</f>
        <v>OK</v>
      </c>
      <c r="C224" s="2">
        <v>46310</v>
      </c>
      <c r="D224">
        <f t="shared" ca="1" si="3"/>
        <v>-4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184</v>
      </c>
      <c r="K224" t="s">
        <v>118</v>
      </c>
      <c r="L224" t="s">
        <v>33</v>
      </c>
      <c r="M224" t="s">
        <v>12</v>
      </c>
      <c r="N224" t="s">
        <v>178</v>
      </c>
      <c r="O224" t="s">
        <v>448</v>
      </c>
      <c r="Q224" s="2">
        <v>46023</v>
      </c>
      <c r="R224" s="2">
        <v>46023</v>
      </c>
    </row>
    <row r="225" spans="1:18" x14ac:dyDescent="0.3">
      <c r="A225" t="s">
        <v>278</v>
      </c>
      <c r="B225" t="str">
        <f>VLOOKUP(A225,[1]!Tabela1[[PLACA]:[STATUS]],2,0)</f>
        <v>OK</v>
      </c>
      <c r="C225" s="2">
        <v>46310</v>
      </c>
      <c r="D225">
        <f t="shared" ca="1" si="3"/>
        <v>-4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184</v>
      </c>
      <c r="K225" t="s">
        <v>464</v>
      </c>
      <c r="L225" t="s">
        <v>11</v>
      </c>
      <c r="M225" t="s">
        <v>12</v>
      </c>
      <c r="N225" t="s">
        <v>119</v>
      </c>
      <c r="O225" t="s">
        <v>451</v>
      </c>
      <c r="Q225" s="2">
        <v>46023</v>
      </c>
      <c r="R225" s="2">
        <v>46023</v>
      </c>
    </row>
    <row r="226" spans="1:18" x14ac:dyDescent="0.3">
      <c r="A226" t="s">
        <v>279</v>
      </c>
      <c r="B226" t="str">
        <f>VLOOKUP(A226,[1]!Tabela1[[PLACA]:[STATUS]],2,0)</f>
        <v>OK</v>
      </c>
      <c r="C226" s="2">
        <v>46310</v>
      </c>
      <c r="D226">
        <f t="shared" ca="1" si="3"/>
        <v>-4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184</v>
      </c>
      <c r="K226" t="s">
        <v>10</v>
      </c>
      <c r="L226" t="s">
        <v>11</v>
      </c>
      <c r="M226" t="s">
        <v>12</v>
      </c>
      <c r="N226" t="s">
        <v>178</v>
      </c>
      <c r="O226" t="s">
        <v>448</v>
      </c>
      <c r="Q226" s="2">
        <v>46023</v>
      </c>
      <c r="R226" s="2">
        <v>46023</v>
      </c>
    </row>
    <row r="227" spans="1:18" x14ac:dyDescent="0.3">
      <c r="A227" t="s">
        <v>280</v>
      </c>
      <c r="B227" t="str">
        <f>VLOOKUP(A227,[1]!Tabela1[[PLACA]:[STATUS]],2,0)</f>
        <v>OK</v>
      </c>
      <c r="C227" s="2">
        <v>46310</v>
      </c>
      <c r="D227">
        <f t="shared" ca="1" si="3"/>
        <v>-4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184</v>
      </c>
      <c r="K227" t="s">
        <v>10</v>
      </c>
      <c r="L227" t="s">
        <v>11</v>
      </c>
      <c r="M227" t="s">
        <v>12</v>
      </c>
      <c r="N227" t="s">
        <v>178</v>
      </c>
      <c r="O227" t="s">
        <v>448</v>
      </c>
      <c r="Q227" s="2">
        <v>46023</v>
      </c>
      <c r="R227" s="2">
        <v>46023</v>
      </c>
    </row>
    <row r="228" spans="1:18" x14ac:dyDescent="0.3">
      <c r="A228" t="s">
        <v>281</v>
      </c>
      <c r="B228" t="str">
        <f>VLOOKUP(A228,[1]!Tabela1[[PLACA]:[STATUS]],2,0)</f>
        <v>OK</v>
      </c>
      <c r="C228" s="2">
        <v>46292</v>
      </c>
      <c r="D228">
        <f t="shared" ca="1" si="3"/>
        <v>-22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184</v>
      </c>
      <c r="K228" t="s">
        <v>10</v>
      </c>
      <c r="L228" t="s">
        <v>11</v>
      </c>
      <c r="M228" t="s">
        <v>12</v>
      </c>
      <c r="N228" t="s">
        <v>178</v>
      </c>
      <c r="O228" t="s">
        <v>451</v>
      </c>
      <c r="Q228" s="2">
        <v>46023</v>
      </c>
      <c r="R228" s="2">
        <v>46023</v>
      </c>
    </row>
    <row r="229" spans="1:18" x14ac:dyDescent="0.3">
      <c r="A229" t="s">
        <v>282</v>
      </c>
      <c r="B229" t="str">
        <f>VLOOKUP(A229,[1]!Tabela1[[PLACA]:[STATUS]],2,0)</f>
        <v>OK</v>
      </c>
      <c r="C229" s="2">
        <v>46310</v>
      </c>
      <c r="D229">
        <f t="shared" ca="1" si="3"/>
        <v>-4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184</v>
      </c>
      <c r="K229" t="s">
        <v>10</v>
      </c>
      <c r="L229" t="s">
        <v>11</v>
      </c>
      <c r="M229" t="s">
        <v>12</v>
      </c>
      <c r="N229" t="s">
        <v>178</v>
      </c>
      <c r="O229" t="s">
        <v>451</v>
      </c>
      <c r="Q229" s="2">
        <v>46023</v>
      </c>
      <c r="R229" s="2">
        <v>46023</v>
      </c>
    </row>
    <row r="230" spans="1:18" x14ac:dyDescent="0.3">
      <c r="A230" t="s">
        <v>283</v>
      </c>
      <c r="B230" t="str">
        <f>VLOOKUP(A230,[1]!Tabela1[[PLACA]:[STATUS]],2,0)</f>
        <v>OK</v>
      </c>
      <c r="C230" s="2">
        <v>46306</v>
      </c>
      <c r="D230">
        <f t="shared" ca="1" si="3"/>
        <v>-8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184</v>
      </c>
      <c r="K230" t="s">
        <v>10</v>
      </c>
      <c r="L230" t="s">
        <v>11</v>
      </c>
      <c r="M230" t="s">
        <v>12</v>
      </c>
      <c r="N230" t="s">
        <v>178</v>
      </c>
      <c r="O230" t="s">
        <v>448</v>
      </c>
      <c r="Q230" s="2">
        <v>46023</v>
      </c>
      <c r="R230" s="2">
        <v>46023</v>
      </c>
    </row>
    <row r="231" spans="1:18" x14ac:dyDescent="0.3">
      <c r="A231" t="s">
        <v>284</v>
      </c>
      <c r="B231" t="str">
        <f>VLOOKUP(A231,[1]!Tabela1[[PLACA]:[STATUS]],2,0)</f>
        <v>OK</v>
      </c>
      <c r="C231" s="2">
        <v>46308</v>
      </c>
      <c r="D231">
        <f t="shared" ca="1" si="3"/>
        <v>-6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184</v>
      </c>
      <c r="K231" t="s">
        <v>10</v>
      </c>
      <c r="L231" t="s">
        <v>11</v>
      </c>
      <c r="M231" t="s">
        <v>12</v>
      </c>
      <c r="N231" t="s">
        <v>178</v>
      </c>
      <c r="O231" t="s">
        <v>448</v>
      </c>
      <c r="Q231" s="2">
        <v>46023</v>
      </c>
      <c r="R231" s="2">
        <v>46023</v>
      </c>
    </row>
    <row r="232" spans="1:18" x14ac:dyDescent="0.3">
      <c r="A232" t="s">
        <v>285</v>
      </c>
      <c r="B232" t="str">
        <f>VLOOKUP(A232,[1]!Tabela1[[PLACA]:[STATUS]],2,0)</f>
        <v>OK</v>
      </c>
      <c r="C232" s="2">
        <v>46310</v>
      </c>
      <c r="D232">
        <f t="shared" ca="1" si="3"/>
        <v>-4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184</v>
      </c>
      <c r="K232" t="s">
        <v>10</v>
      </c>
      <c r="L232" t="s">
        <v>11</v>
      </c>
      <c r="M232" t="s">
        <v>12</v>
      </c>
      <c r="N232" t="s">
        <v>178</v>
      </c>
      <c r="O232" t="s">
        <v>448</v>
      </c>
      <c r="Q232" s="2">
        <v>46023</v>
      </c>
      <c r="R232" s="2">
        <v>46023</v>
      </c>
    </row>
    <row r="233" spans="1:18" x14ac:dyDescent="0.3">
      <c r="A233" t="s">
        <v>286</v>
      </c>
      <c r="B233" t="str">
        <f>VLOOKUP(A233,[1]!Tabela1[[PLACA]:[STATUS]],2,0)</f>
        <v>OK</v>
      </c>
      <c r="C233" s="2">
        <v>46310</v>
      </c>
      <c r="D233">
        <f t="shared" ca="1" si="3"/>
        <v>-4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184</v>
      </c>
      <c r="K233" t="s">
        <v>10</v>
      </c>
      <c r="L233" t="s">
        <v>11</v>
      </c>
      <c r="M233" t="s">
        <v>12</v>
      </c>
      <c r="N233" t="s">
        <v>178</v>
      </c>
      <c r="O233" t="s">
        <v>448</v>
      </c>
      <c r="Q233" s="2">
        <v>46023</v>
      </c>
      <c r="R233" s="2">
        <v>46023</v>
      </c>
    </row>
    <row r="234" spans="1:18" x14ac:dyDescent="0.3">
      <c r="A234" t="s">
        <v>287</v>
      </c>
      <c r="B234" t="str">
        <f>VLOOKUP(A234,[1]!Tabela1[[PLACA]:[STATUS]],2,0)</f>
        <v>OK</v>
      </c>
      <c r="C234" s="2">
        <v>46310</v>
      </c>
      <c r="D234">
        <f t="shared" ca="1" si="3"/>
        <v>-4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184</v>
      </c>
      <c r="K234" t="s">
        <v>10</v>
      </c>
      <c r="L234" t="s">
        <v>11</v>
      </c>
      <c r="M234" t="s">
        <v>12</v>
      </c>
      <c r="N234" t="s">
        <v>178</v>
      </c>
      <c r="O234" t="s">
        <v>448</v>
      </c>
      <c r="Q234" s="2">
        <v>46023</v>
      </c>
      <c r="R234" s="2">
        <v>46023</v>
      </c>
    </row>
    <row r="235" spans="1:18" x14ac:dyDescent="0.3">
      <c r="A235" t="s">
        <v>288</v>
      </c>
      <c r="B235" t="str">
        <f>VLOOKUP(A235,[1]!Tabela1[[PLACA]:[STATUS]],2,0)</f>
        <v>OK</v>
      </c>
      <c r="C235" s="2">
        <v>46310</v>
      </c>
      <c r="D235">
        <f t="shared" ca="1" si="3"/>
        <v>-4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184</v>
      </c>
      <c r="K235" t="s">
        <v>10</v>
      </c>
      <c r="L235" t="s">
        <v>11</v>
      </c>
      <c r="M235" t="s">
        <v>12</v>
      </c>
      <c r="N235" t="s">
        <v>178</v>
      </c>
      <c r="O235" t="s">
        <v>448</v>
      </c>
      <c r="Q235" s="2">
        <v>46023</v>
      </c>
      <c r="R235" s="2">
        <v>46023</v>
      </c>
    </row>
    <row r="236" spans="1:18" x14ac:dyDescent="0.3">
      <c r="A236" t="s">
        <v>289</v>
      </c>
      <c r="B236" t="str">
        <f>VLOOKUP(A236,[1]!Tabela1[[PLACA]:[STATUS]],2,0)</f>
        <v>OK</v>
      </c>
      <c r="C236" s="2">
        <v>46310</v>
      </c>
      <c r="D236">
        <f t="shared" ca="1" si="3"/>
        <v>-4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184</v>
      </c>
      <c r="K236" t="s">
        <v>10</v>
      </c>
      <c r="L236" t="s">
        <v>11</v>
      </c>
      <c r="M236" t="s">
        <v>12</v>
      </c>
      <c r="N236" t="s">
        <v>178</v>
      </c>
      <c r="O236" t="s">
        <v>448</v>
      </c>
      <c r="Q236" s="2">
        <v>46023</v>
      </c>
      <c r="R236" s="2">
        <v>46023</v>
      </c>
    </row>
    <row r="237" spans="1:18" x14ac:dyDescent="0.3">
      <c r="A237" t="s">
        <v>290</v>
      </c>
      <c r="B237" t="str">
        <f>VLOOKUP(A237,[1]!Tabela1[[PLACA]:[STATUS]],2,0)</f>
        <v>OK</v>
      </c>
      <c r="C237" s="2">
        <v>46310</v>
      </c>
      <c r="D237">
        <f t="shared" ca="1" si="3"/>
        <v>-4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184</v>
      </c>
      <c r="K237" t="s">
        <v>10</v>
      </c>
      <c r="L237" t="s">
        <v>11</v>
      </c>
      <c r="M237" t="s">
        <v>12</v>
      </c>
      <c r="N237" t="s">
        <v>178</v>
      </c>
      <c r="O237" t="s">
        <v>448</v>
      </c>
      <c r="Q237" s="2">
        <v>46023</v>
      </c>
      <c r="R237" s="2">
        <v>46023</v>
      </c>
    </row>
    <row r="238" spans="1:18" x14ac:dyDescent="0.3">
      <c r="A238" t="s">
        <v>291</v>
      </c>
      <c r="B238" t="str">
        <f>VLOOKUP(A238,[1]!Tabela1[[PLACA]:[STATUS]],2,0)</f>
        <v>OK</v>
      </c>
      <c r="C238" s="2">
        <v>46310</v>
      </c>
      <c r="D238">
        <f t="shared" ca="1" si="3"/>
        <v>-4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184</v>
      </c>
      <c r="K238" t="s">
        <v>10</v>
      </c>
      <c r="L238" t="s">
        <v>11</v>
      </c>
      <c r="M238" t="s">
        <v>12</v>
      </c>
      <c r="N238" t="s">
        <v>178</v>
      </c>
      <c r="O238" t="s">
        <v>448</v>
      </c>
      <c r="Q238" s="2">
        <v>46023</v>
      </c>
      <c r="R238" s="2">
        <v>46023</v>
      </c>
    </row>
    <row r="239" spans="1:18" x14ac:dyDescent="0.3">
      <c r="A239" t="s">
        <v>292</v>
      </c>
      <c r="B239" t="str">
        <f>VLOOKUP(A239,[1]!Tabela1[[PLACA]:[STATUS]],2,0)</f>
        <v>OK</v>
      </c>
      <c r="C239" s="2">
        <v>46301</v>
      </c>
      <c r="D239">
        <f t="shared" ca="1" si="3"/>
        <v>-13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184</v>
      </c>
      <c r="K239" t="s">
        <v>10</v>
      </c>
      <c r="L239" t="s">
        <v>11</v>
      </c>
      <c r="M239" t="s">
        <v>12</v>
      </c>
      <c r="N239" t="s">
        <v>178</v>
      </c>
      <c r="O239" t="s">
        <v>448</v>
      </c>
      <c r="Q239" s="2">
        <v>46023</v>
      </c>
      <c r="R239" s="2">
        <v>46023</v>
      </c>
    </row>
    <row r="240" spans="1:18" x14ac:dyDescent="0.3">
      <c r="A240" t="s">
        <v>293</v>
      </c>
      <c r="B240" t="str">
        <f>VLOOKUP(A240,[1]!Tabela1[[PLACA]:[STATUS]],2,0)</f>
        <v>OK</v>
      </c>
      <c r="C240" s="2">
        <v>46309</v>
      </c>
      <c r="D240">
        <f t="shared" ca="1" si="3"/>
        <v>-5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184</v>
      </c>
      <c r="K240" t="s">
        <v>10</v>
      </c>
      <c r="L240" t="s">
        <v>11</v>
      </c>
      <c r="M240" t="s">
        <v>12</v>
      </c>
      <c r="N240" t="s">
        <v>178</v>
      </c>
      <c r="O240" t="s">
        <v>448</v>
      </c>
      <c r="Q240" s="2">
        <v>46023</v>
      </c>
      <c r="R240" s="2">
        <v>46023</v>
      </c>
    </row>
    <row r="241" spans="1:18" x14ac:dyDescent="0.3">
      <c r="A241" t="s">
        <v>294</v>
      </c>
      <c r="B241" t="str">
        <f>VLOOKUP(A241,[1]!Tabela1[[PLACA]:[STATUS]],2,0)</f>
        <v>OK</v>
      </c>
      <c r="C241" s="2">
        <v>46310</v>
      </c>
      <c r="D241">
        <f t="shared" ca="1" si="3"/>
        <v>-4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184</v>
      </c>
      <c r="K241" t="s">
        <v>10</v>
      </c>
      <c r="L241" t="s">
        <v>11</v>
      </c>
      <c r="M241" t="s">
        <v>12</v>
      </c>
      <c r="N241" t="s">
        <v>178</v>
      </c>
      <c r="O241" t="s">
        <v>448</v>
      </c>
      <c r="Q241" s="2">
        <v>46023</v>
      </c>
      <c r="R241" s="2">
        <v>46023</v>
      </c>
    </row>
    <row r="242" spans="1:18" x14ac:dyDescent="0.3">
      <c r="A242" t="s">
        <v>295</v>
      </c>
      <c r="B242" t="str">
        <f>VLOOKUP(A242,[1]!Tabela1[[PLACA]:[STATUS]],2,0)</f>
        <v>OK</v>
      </c>
      <c r="C242" s="2">
        <v>46310</v>
      </c>
      <c r="D242">
        <f t="shared" ca="1" si="3"/>
        <v>-4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184</v>
      </c>
      <c r="K242" t="s">
        <v>10</v>
      </c>
      <c r="L242" t="s">
        <v>11</v>
      </c>
      <c r="M242" t="s">
        <v>12</v>
      </c>
      <c r="N242" t="s">
        <v>119</v>
      </c>
      <c r="O242" t="s">
        <v>451</v>
      </c>
      <c r="Q242" s="2">
        <v>46023</v>
      </c>
      <c r="R242" s="2">
        <v>46023</v>
      </c>
    </row>
    <row r="243" spans="1:18" x14ac:dyDescent="0.3">
      <c r="A243" t="s">
        <v>296</v>
      </c>
      <c r="B243" t="str">
        <f>VLOOKUP(A243,[1]!Tabela1[[PLACA]:[STATUS]],2,0)</f>
        <v>OK</v>
      </c>
      <c r="C243" s="2">
        <v>46274</v>
      </c>
      <c r="D243">
        <f t="shared" ca="1" si="3"/>
        <v>-40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184</v>
      </c>
      <c r="K243" t="s">
        <v>10</v>
      </c>
      <c r="L243" t="s">
        <v>11</v>
      </c>
      <c r="M243" t="s">
        <v>12</v>
      </c>
      <c r="N243" t="s">
        <v>119</v>
      </c>
      <c r="O243" t="s">
        <v>451</v>
      </c>
      <c r="Q243" s="2">
        <v>46023</v>
      </c>
      <c r="R243" s="2">
        <v>46023</v>
      </c>
    </row>
    <row r="244" spans="1:18" x14ac:dyDescent="0.3">
      <c r="A244" t="s">
        <v>297</v>
      </c>
      <c r="B244" t="str">
        <f>VLOOKUP(A244,[1]!Tabela1[[PLACA]:[STATUS]],2,0)</f>
        <v>OK</v>
      </c>
      <c r="C244" s="2">
        <v>46310</v>
      </c>
      <c r="D244">
        <f t="shared" ca="1" si="3"/>
        <v>-4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184</v>
      </c>
      <c r="K244" t="s">
        <v>10</v>
      </c>
      <c r="L244" t="s">
        <v>11</v>
      </c>
      <c r="M244" t="s">
        <v>12</v>
      </c>
      <c r="N244" t="s">
        <v>178</v>
      </c>
      <c r="O244" t="s">
        <v>448</v>
      </c>
      <c r="Q244" s="2">
        <v>46023</v>
      </c>
      <c r="R244" s="2">
        <v>46023</v>
      </c>
    </row>
    <row r="245" spans="1:18" x14ac:dyDescent="0.3">
      <c r="A245" t="s">
        <v>298</v>
      </c>
      <c r="B245" t="str">
        <f>VLOOKUP(A245,[1]!Tabela1[[PLACA]:[STATUS]],2,0)</f>
        <v>OK</v>
      </c>
      <c r="C245" s="2">
        <v>46310</v>
      </c>
      <c r="D245">
        <f t="shared" ca="1" si="3"/>
        <v>-4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184</v>
      </c>
      <c r="K245" t="s">
        <v>464</v>
      </c>
      <c r="L245" t="s">
        <v>11</v>
      </c>
      <c r="M245" t="s">
        <v>12</v>
      </c>
      <c r="N245" t="s">
        <v>119</v>
      </c>
      <c r="O245" t="s">
        <v>451</v>
      </c>
      <c r="Q245" s="2">
        <v>46023</v>
      </c>
      <c r="R245" s="2">
        <v>46023</v>
      </c>
    </row>
    <row r="246" spans="1:18" x14ac:dyDescent="0.3">
      <c r="A246" t="s">
        <v>299</v>
      </c>
      <c r="B246" t="str">
        <f>VLOOKUP(A246,[1]!Tabela1[[PLACA]:[STATUS]],2,0)</f>
        <v>OK</v>
      </c>
      <c r="C246" s="2">
        <v>46310</v>
      </c>
      <c r="D246">
        <f t="shared" ca="1" si="3"/>
        <v>-4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184</v>
      </c>
      <c r="K246" t="s">
        <v>463</v>
      </c>
      <c r="L246" t="s">
        <v>11</v>
      </c>
      <c r="M246" t="s">
        <v>12</v>
      </c>
      <c r="N246" t="s">
        <v>119</v>
      </c>
      <c r="O246" t="s">
        <v>451</v>
      </c>
      <c r="Q246" s="2">
        <v>46023</v>
      </c>
      <c r="R246" s="2">
        <v>46023</v>
      </c>
    </row>
    <row r="247" spans="1:18" x14ac:dyDescent="0.3">
      <c r="A247" t="s">
        <v>300</v>
      </c>
      <c r="B247" t="str">
        <f>VLOOKUP(A247,[1]!Tabela1[[PLACA]:[STATUS]],2,0)</f>
        <v>OK</v>
      </c>
      <c r="C247" s="2">
        <v>46310</v>
      </c>
      <c r="D247">
        <f t="shared" ca="1" si="3"/>
        <v>-4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184</v>
      </c>
      <c r="K247" t="s">
        <v>465</v>
      </c>
      <c r="L247" t="s">
        <v>11</v>
      </c>
      <c r="M247" t="s">
        <v>12</v>
      </c>
      <c r="N247" t="s">
        <v>178</v>
      </c>
      <c r="O247" t="s">
        <v>448</v>
      </c>
      <c r="Q247" s="2">
        <v>46023</v>
      </c>
      <c r="R247" s="2">
        <v>46023</v>
      </c>
    </row>
    <row r="248" spans="1:18" x14ac:dyDescent="0.3">
      <c r="A248" t="s">
        <v>301</v>
      </c>
      <c r="B248" t="str">
        <f>VLOOKUP(A248,[1]!Tabela1[[PLACA]:[STATUS]],2,0)</f>
        <v>OK</v>
      </c>
      <c r="C248" s="2">
        <v>46282</v>
      </c>
      <c r="D248">
        <f t="shared" ca="1" si="3"/>
        <v>-32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184</v>
      </c>
      <c r="K248" t="s">
        <v>465</v>
      </c>
      <c r="L248" t="s">
        <v>11</v>
      </c>
      <c r="M248" t="s">
        <v>12</v>
      </c>
      <c r="N248" t="s">
        <v>178</v>
      </c>
      <c r="O248" t="s">
        <v>448</v>
      </c>
      <c r="Q248" s="2">
        <v>46023</v>
      </c>
      <c r="R248" s="2">
        <v>46023</v>
      </c>
    </row>
    <row r="249" spans="1:18" x14ac:dyDescent="0.3">
      <c r="A249" t="s">
        <v>302</v>
      </c>
      <c r="B249" t="str">
        <f>VLOOKUP(A249,[1]!Tabela1[[PLACA]:[STATUS]],2,0)</f>
        <v>OK</v>
      </c>
      <c r="C249" s="2">
        <v>46310</v>
      </c>
      <c r="D249">
        <f t="shared" ca="1" si="3"/>
        <v>-4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184</v>
      </c>
      <c r="K249" t="s">
        <v>28</v>
      </c>
      <c r="L249" t="s">
        <v>11</v>
      </c>
      <c r="M249" t="s">
        <v>12</v>
      </c>
      <c r="N249" t="s">
        <v>178</v>
      </c>
      <c r="O249" t="s">
        <v>451</v>
      </c>
      <c r="Q249" s="2">
        <v>46023</v>
      </c>
      <c r="R249" s="2">
        <v>46023</v>
      </c>
    </row>
    <row r="250" spans="1:18" x14ac:dyDescent="0.3">
      <c r="A250" t="s">
        <v>303</v>
      </c>
      <c r="B250" t="str">
        <f>VLOOKUP(A250,[1]!Tabela1[[PLACA]:[STATUS]],2,0)</f>
        <v>OK</v>
      </c>
      <c r="C250" s="2">
        <v>46310</v>
      </c>
      <c r="D250">
        <f t="shared" ca="1" si="3"/>
        <v>-4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184</v>
      </c>
      <c r="K250" t="s">
        <v>22</v>
      </c>
      <c r="L250" t="s">
        <v>11</v>
      </c>
      <c r="M250" t="s">
        <v>23</v>
      </c>
      <c r="N250" t="s">
        <v>466</v>
      </c>
      <c r="O250" t="s">
        <v>456</v>
      </c>
      <c r="Q250" s="2">
        <v>46023</v>
      </c>
      <c r="R250" s="2">
        <v>46023</v>
      </c>
    </row>
    <row r="251" spans="1:18" x14ac:dyDescent="0.3">
      <c r="A251" t="s">
        <v>304</v>
      </c>
      <c r="B251" t="str">
        <f>VLOOKUP(A251,[1]!Tabela1[[PLACA]:[STATUS]],2,0)</f>
        <v>OK</v>
      </c>
      <c r="C251" s="2">
        <v>46310</v>
      </c>
      <c r="D251">
        <f t="shared" ca="1" si="3"/>
        <v>-4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184</v>
      </c>
      <c r="K251" t="s">
        <v>22</v>
      </c>
      <c r="L251" t="s">
        <v>11</v>
      </c>
      <c r="M251" t="s">
        <v>23</v>
      </c>
      <c r="N251" t="s">
        <v>466</v>
      </c>
      <c r="O251" t="s">
        <v>456</v>
      </c>
      <c r="Q251" s="2">
        <v>46023</v>
      </c>
      <c r="R251" s="2">
        <v>46023</v>
      </c>
    </row>
    <row r="252" spans="1:18" x14ac:dyDescent="0.3">
      <c r="A252" t="s">
        <v>305</v>
      </c>
      <c r="B252" t="str">
        <f>VLOOKUP(A252,[1]!Tabela1[[PLACA]:[STATUS]],2,0)</f>
        <v>OK</v>
      </c>
      <c r="C252" s="2">
        <v>46310</v>
      </c>
      <c r="D252">
        <f t="shared" ca="1" si="3"/>
        <v>-4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184</v>
      </c>
      <c r="K252" t="s">
        <v>22</v>
      </c>
      <c r="L252" t="s">
        <v>11</v>
      </c>
      <c r="M252" t="s">
        <v>23</v>
      </c>
      <c r="N252" t="s">
        <v>466</v>
      </c>
      <c r="O252" t="s">
        <v>456</v>
      </c>
      <c r="Q252" s="2">
        <v>46023</v>
      </c>
      <c r="R252" s="2">
        <v>46023</v>
      </c>
    </row>
    <row r="253" spans="1:18" x14ac:dyDescent="0.3">
      <c r="A253" t="s">
        <v>306</v>
      </c>
      <c r="B253" t="str">
        <f>VLOOKUP(A253,[1]!Tabela1[[PLACA]:[STATUS]],2,0)</f>
        <v>OK</v>
      </c>
      <c r="C253" s="2">
        <v>46310</v>
      </c>
      <c r="D253">
        <f t="shared" ca="1" si="3"/>
        <v>-4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184</v>
      </c>
      <c r="K253" t="s">
        <v>22</v>
      </c>
      <c r="L253" t="s">
        <v>11</v>
      </c>
      <c r="M253" t="s">
        <v>23</v>
      </c>
      <c r="N253" t="s">
        <v>466</v>
      </c>
      <c r="O253" t="s">
        <v>456</v>
      </c>
      <c r="Q253" s="2">
        <v>46023</v>
      </c>
      <c r="R253" s="2">
        <v>46023</v>
      </c>
    </row>
    <row r="254" spans="1:18" x14ac:dyDescent="0.3">
      <c r="A254" t="s">
        <v>307</v>
      </c>
      <c r="B254" t="str">
        <f>VLOOKUP(A254,[1]!Tabela1[[PLACA]:[STATUS]],2,0)</f>
        <v>OK</v>
      </c>
      <c r="C254" s="2">
        <v>46310</v>
      </c>
      <c r="D254">
        <f t="shared" ca="1" si="3"/>
        <v>-4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184</v>
      </c>
      <c r="K254" t="s">
        <v>22</v>
      </c>
      <c r="L254" t="s">
        <v>11</v>
      </c>
      <c r="M254" t="s">
        <v>23</v>
      </c>
      <c r="N254" t="s">
        <v>466</v>
      </c>
      <c r="O254" t="s">
        <v>456</v>
      </c>
      <c r="Q254" s="2">
        <v>46023</v>
      </c>
      <c r="R254" s="2">
        <v>46023</v>
      </c>
    </row>
    <row r="255" spans="1:18" x14ac:dyDescent="0.3">
      <c r="A255" t="s">
        <v>308</v>
      </c>
      <c r="B255" t="str">
        <f>VLOOKUP(A255,[1]!Tabela1[[PLACA]:[STATUS]],2,0)</f>
        <v>OK</v>
      </c>
      <c r="C255" s="2">
        <v>46301</v>
      </c>
      <c r="D255">
        <f t="shared" ca="1" si="3"/>
        <v>-13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184</v>
      </c>
      <c r="K255" t="s">
        <v>22</v>
      </c>
      <c r="L255" t="s">
        <v>11</v>
      </c>
      <c r="M255" t="s">
        <v>23</v>
      </c>
      <c r="N255" t="s">
        <v>466</v>
      </c>
      <c r="O255" t="s">
        <v>456</v>
      </c>
      <c r="Q255" s="2">
        <v>46023</v>
      </c>
      <c r="R255" s="2">
        <v>46023</v>
      </c>
    </row>
    <row r="256" spans="1:18" x14ac:dyDescent="0.3">
      <c r="A256" t="s">
        <v>309</v>
      </c>
      <c r="B256" t="str">
        <f>VLOOKUP(A256,[1]!Tabela1[[PLACA]:[STATUS]],2,0)</f>
        <v>OK</v>
      </c>
      <c r="C256" s="2">
        <v>46310</v>
      </c>
      <c r="D256">
        <f t="shared" ca="1" si="3"/>
        <v>-4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184</v>
      </c>
      <c r="K256" t="s">
        <v>22</v>
      </c>
      <c r="L256" t="s">
        <v>11</v>
      </c>
      <c r="M256" t="s">
        <v>23</v>
      </c>
      <c r="N256" t="s">
        <v>466</v>
      </c>
      <c r="O256" t="s">
        <v>456</v>
      </c>
      <c r="Q256" s="2">
        <v>46023</v>
      </c>
      <c r="R256" s="2">
        <v>46023</v>
      </c>
    </row>
    <row r="257" spans="1:18" x14ac:dyDescent="0.3">
      <c r="A257" t="s">
        <v>310</v>
      </c>
      <c r="B257" t="str">
        <f>VLOOKUP(A257,[1]!Tabela1[[PLACA]:[STATUS]],2,0)</f>
        <v>OK</v>
      </c>
      <c r="C257" s="2">
        <v>46207</v>
      </c>
      <c r="D257">
        <f t="shared" ref="D257:D320" ca="1" si="4">C257-$S$1</f>
        <v>-107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184</v>
      </c>
      <c r="K257" t="s">
        <v>22</v>
      </c>
      <c r="L257" t="s">
        <v>11</v>
      </c>
      <c r="M257" t="s">
        <v>23</v>
      </c>
      <c r="N257" t="s">
        <v>466</v>
      </c>
      <c r="O257" t="s">
        <v>456</v>
      </c>
      <c r="Q257" s="2">
        <v>46023</v>
      </c>
      <c r="R257" s="2">
        <v>46023</v>
      </c>
    </row>
    <row r="258" spans="1:18" x14ac:dyDescent="0.3">
      <c r="A258" t="s">
        <v>311</v>
      </c>
      <c r="B258" t="str">
        <f>VLOOKUP(A258,[1]!Tabela1[[PLACA]:[STATUS]],2,0)</f>
        <v>OK</v>
      </c>
      <c r="C258" s="2">
        <v>46310</v>
      </c>
      <c r="D258">
        <f t="shared" ca="1" si="4"/>
        <v>-4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184</v>
      </c>
      <c r="K258" t="s">
        <v>22</v>
      </c>
      <c r="L258" t="s">
        <v>11</v>
      </c>
      <c r="M258" t="s">
        <v>23</v>
      </c>
      <c r="N258" t="s">
        <v>466</v>
      </c>
      <c r="O258" t="s">
        <v>457</v>
      </c>
      <c r="Q258" s="2">
        <v>46023</v>
      </c>
      <c r="R258" s="2">
        <v>46023</v>
      </c>
    </row>
    <row r="259" spans="1:18" x14ac:dyDescent="0.3">
      <c r="A259" t="s">
        <v>312</v>
      </c>
      <c r="B259" t="str">
        <f>VLOOKUP(A259,[1]!Tabela1[[PLACA]:[STATUS]],2,0)</f>
        <v>OK</v>
      </c>
      <c r="C259" s="2">
        <v>46310</v>
      </c>
      <c r="D259">
        <f t="shared" ca="1" si="4"/>
        <v>-4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184</v>
      </c>
      <c r="K259" t="s">
        <v>22</v>
      </c>
      <c r="L259" t="s">
        <v>11</v>
      </c>
      <c r="M259" t="s">
        <v>23</v>
      </c>
      <c r="N259" t="s">
        <v>466</v>
      </c>
      <c r="O259" t="s">
        <v>456</v>
      </c>
      <c r="Q259" s="2">
        <v>46023</v>
      </c>
      <c r="R259" s="2">
        <v>46023</v>
      </c>
    </row>
    <row r="260" spans="1:18" x14ac:dyDescent="0.3">
      <c r="A260" t="s">
        <v>313</v>
      </c>
      <c r="B260" t="str">
        <f>VLOOKUP(A260,[1]!Tabela1[[PLACA]:[STATUS]],2,0)</f>
        <v>OK</v>
      </c>
      <c r="C260" s="2">
        <v>46310</v>
      </c>
      <c r="D260">
        <f t="shared" ca="1" si="4"/>
        <v>-4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184</v>
      </c>
      <c r="K260" t="s">
        <v>22</v>
      </c>
      <c r="L260" t="s">
        <v>11</v>
      </c>
      <c r="M260" t="s">
        <v>23</v>
      </c>
      <c r="N260" t="s">
        <v>466</v>
      </c>
      <c r="O260" t="s">
        <v>456</v>
      </c>
      <c r="Q260" s="2">
        <v>46023</v>
      </c>
      <c r="R260" s="2">
        <v>46023</v>
      </c>
    </row>
    <row r="261" spans="1:18" x14ac:dyDescent="0.3">
      <c r="A261" t="s">
        <v>314</v>
      </c>
      <c r="B261" t="str">
        <f>VLOOKUP(A261,[1]!Tabela1[[PLACA]:[STATUS]],2,0)</f>
        <v>OK</v>
      </c>
      <c r="C261" s="2">
        <v>46310</v>
      </c>
      <c r="D261">
        <f t="shared" ca="1" si="4"/>
        <v>-4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184</v>
      </c>
      <c r="K261" t="s">
        <v>22</v>
      </c>
      <c r="L261" t="s">
        <v>11</v>
      </c>
      <c r="M261" t="s">
        <v>23</v>
      </c>
      <c r="N261" t="s">
        <v>466</v>
      </c>
      <c r="O261" t="s">
        <v>458</v>
      </c>
      <c r="Q261" s="2">
        <v>46023</v>
      </c>
      <c r="R261" s="2">
        <v>46023</v>
      </c>
    </row>
    <row r="262" spans="1:18" x14ac:dyDescent="0.3">
      <c r="A262" t="s">
        <v>315</v>
      </c>
      <c r="B262" t="str">
        <f>VLOOKUP(A262,[1]!Tabela1[[PLACA]:[STATUS]],2,0)</f>
        <v>OK</v>
      </c>
      <c r="C262" s="2">
        <v>46297</v>
      </c>
      <c r="D262">
        <f t="shared" ca="1" si="4"/>
        <v>-17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184</v>
      </c>
      <c r="K262" t="s">
        <v>22</v>
      </c>
      <c r="L262" t="s">
        <v>11</v>
      </c>
      <c r="M262" t="s">
        <v>23</v>
      </c>
      <c r="N262" t="s">
        <v>466</v>
      </c>
      <c r="O262" t="s">
        <v>458</v>
      </c>
      <c r="Q262" s="2">
        <v>46023</v>
      </c>
      <c r="R262" s="2">
        <v>46023</v>
      </c>
    </row>
    <row r="263" spans="1:18" x14ac:dyDescent="0.3">
      <c r="A263" t="s">
        <v>316</v>
      </c>
      <c r="B263" t="str">
        <f>VLOOKUP(A263,[1]!Tabela1[[PLACA]:[STATUS]],2,0)</f>
        <v>OK</v>
      </c>
      <c r="C263" s="2">
        <v>46310</v>
      </c>
      <c r="D263">
        <f t="shared" ca="1" si="4"/>
        <v>-4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184</v>
      </c>
      <c r="K263" t="s">
        <v>22</v>
      </c>
      <c r="L263" t="s">
        <v>11</v>
      </c>
      <c r="M263" t="s">
        <v>23</v>
      </c>
      <c r="N263" t="s">
        <v>466</v>
      </c>
      <c r="O263" t="s">
        <v>458</v>
      </c>
      <c r="Q263" s="2">
        <v>46023</v>
      </c>
      <c r="R263" s="2">
        <v>46023</v>
      </c>
    </row>
    <row r="264" spans="1:18" x14ac:dyDescent="0.3">
      <c r="A264" t="s">
        <v>317</v>
      </c>
      <c r="B264" t="str">
        <f>VLOOKUP(A264,[1]!Tabela1[[PLACA]:[STATUS]],2,0)</f>
        <v>OK</v>
      </c>
      <c r="C264" s="2">
        <v>46310</v>
      </c>
      <c r="D264">
        <f t="shared" ca="1" si="4"/>
        <v>-4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184</v>
      </c>
      <c r="K264" t="s">
        <v>22</v>
      </c>
      <c r="L264" t="s">
        <v>11</v>
      </c>
      <c r="M264" t="s">
        <v>23</v>
      </c>
      <c r="N264" t="s">
        <v>466</v>
      </c>
      <c r="O264" t="s">
        <v>458</v>
      </c>
      <c r="Q264" s="2">
        <v>46023</v>
      </c>
      <c r="R264" s="2">
        <v>46023</v>
      </c>
    </row>
    <row r="265" spans="1:18" x14ac:dyDescent="0.3">
      <c r="A265" t="s">
        <v>318</v>
      </c>
      <c r="B265" t="str">
        <f>VLOOKUP(A265,[1]!Tabela1[[PLACA]:[STATUS]],2,0)</f>
        <v>OK</v>
      </c>
      <c r="C265" s="2">
        <v>46310</v>
      </c>
      <c r="D265">
        <f t="shared" ca="1" si="4"/>
        <v>-4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184</v>
      </c>
      <c r="K265" t="s">
        <v>22</v>
      </c>
      <c r="L265" t="s">
        <v>11</v>
      </c>
      <c r="M265" t="s">
        <v>23</v>
      </c>
      <c r="N265" t="s">
        <v>466</v>
      </c>
      <c r="O265" t="s">
        <v>458</v>
      </c>
      <c r="Q265" s="2">
        <v>46023</v>
      </c>
      <c r="R265" s="2">
        <v>46023</v>
      </c>
    </row>
    <row r="266" spans="1:18" x14ac:dyDescent="0.3">
      <c r="A266" t="s">
        <v>319</v>
      </c>
      <c r="B266" t="str">
        <f>VLOOKUP(A266,[1]!Tabela1[[PLACA]:[STATUS]],2,0)</f>
        <v>OK</v>
      </c>
      <c r="C266" s="2">
        <v>46302</v>
      </c>
      <c r="D266">
        <f t="shared" ca="1" si="4"/>
        <v>-12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184</v>
      </c>
      <c r="K266" t="s">
        <v>22</v>
      </c>
      <c r="L266" t="s">
        <v>11</v>
      </c>
      <c r="M266" t="s">
        <v>23</v>
      </c>
      <c r="N266" t="s">
        <v>459</v>
      </c>
      <c r="O266" t="s">
        <v>460</v>
      </c>
      <c r="Q266" s="2">
        <v>46023</v>
      </c>
      <c r="R266" s="2">
        <v>46023</v>
      </c>
    </row>
    <row r="267" spans="1:18" x14ac:dyDescent="0.3">
      <c r="A267" t="s">
        <v>320</v>
      </c>
      <c r="B267" t="str">
        <f>VLOOKUP(A267,[1]!Tabela1[[PLACA]:[STATUS]],2,0)</f>
        <v>OK</v>
      </c>
      <c r="C267" s="2">
        <v>46177</v>
      </c>
      <c r="D267">
        <f t="shared" ca="1" si="4"/>
        <v>-137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184</v>
      </c>
      <c r="K267" t="s">
        <v>22</v>
      </c>
      <c r="L267" t="s">
        <v>11</v>
      </c>
      <c r="M267" t="s">
        <v>23</v>
      </c>
      <c r="N267" t="s">
        <v>459</v>
      </c>
      <c r="O267" t="s">
        <v>460</v>
      </c>
      <c r="Q267" s="2">
        <v>46023</v>
      </c>
      <c r="R267" s="2">
        <v>46023</v>
      </c>
    </row>
    <row r="268" spans="1:18" x14ac:dyDescent="0.3">
      <c r="A268" t="s">
        <v>321</v>
      </c>
      <c r="B268" t="str">
        <f>VLOOKUP(A268,[1]!Tabela1[[PLACA]:[STATUS]],2,0)</f>
        <v>OK</v>
      </c>
      <c r="C268" s="2">
        <v>46310</v>
      </c>
      <c r="D268">
        <f t="shared" ca="1" si="4"/>
        <v>-4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184</v>
      </c>
      <c r="K268" t="s">
        <v>22</v>
      </c>
      <c r="L268" t="s">
        <v>11</v>
      </c>
      <c r="M268" t="s">
        <v>23</v>
      </c>
      <c r="N268" t="s">
        <v>459</v>
      </c>
      <c r="O268" t="s">
        <v>460</v>
      </c>
      <c r="Q268" s="2">
        <v>46023</v>
      </c>
      <c r="R268" s="2">
        <v>46023</v>
      </c>
    </row>
    <row r="269" spans="1:18" x14ac:dyDescent="0.3">
      <c r="A269" t="s">
        <v>322</v>
      </c>
      <c r="B269" t="str">
        <f>VLOOKUP(A269,[1]!Tabela1[[PLACA]:[STATUS]],2,0)</f>
        <v>OK</v>
      </c>
      <c r="C269" s="2">
        <v>46299</v>
      </c>
      <c r="D269">
        <f t="shared" ca="1" si="4"/>
        <v>-15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184</v>
      </c>
      <c r="K269" t="s">
        <v>22</v>
      </c>
      <c r="L269" t="s">
        <v>11</v>
      </c>
      <c r="M269" t="s">
        <v>23</v>
      </c>
      <c r="N269" t="s">
        <v>459</v>
      </c>
      <c r="O269" t="s">
        <v>460</v>
      </c>
      <c r="Q269" s="2">
        <v>46023</v>
      </c>
      <c r="R269" s="2">
        <v>46023</v>
      </c>
    </row>
    <row r="270" spans="1:18" x14ac:dyDescent="0.3">
      <c r="A270" t="s">
        <v>323</v>
      </c>
      <c r="B270" t="str">
        <f>VLOOKUP(A270,[1]!Tabela1[[PLACA]:[STATUS]],2,0)</f>
        <v>OK</v>
      </c>
      <c r="C270" s="2">
        <v>46310</v>
      </c>
      <c r="D270">
        <f t="shared" ca="1" si="4"/>
        <v>-4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184</v>
      </c>
      <c r="K270" t="s">
        <v>22</v>
      </c>
      <c r="L270" t="s">
        <v>11</v>
      </c>
      <c r="M270" t="s">
        <v>23</v>
      </c>
      <c r="N270" t="s">
        <v>459</v>
      </c>
      <c r="O270" t="s">
        <v>460</v>
      </c>
      <c r="Q270" s="2">
        <v>46023</v>
      </c>
      <c r="R270" s="2">
        <v>46023</v>
      </c>
    </row>
    <row r="271" spans="1:18" x14ac:dyDescent="0.3">
      <c r="A271" t="s">
        <v>324</v>
      </c>
      <c r="B271" t="str">
        <f>VLOOKUP(A271,[1]!Tabela1[[PLACA]:[STATUS]],2,0)</f>
        <v>OK</v>
      </c>
      <c r="C271" s="2">
        <v>46310</v>
      </c>
      <c r="D271">
        <f t="shared" ca="1" si="4"/>
        <v>-4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184</v>
      </c>
      <c r="K271" t="s">
        <v>225</v>
      </c>
      <c r="L271" t="s">
        <v>11</v>
      </c>
      <c r="M271" t="s">
        <v>29</v>
      </c>
      <c r="N271" t="s">
        <v>119</v>
      </c>
      <c r="O271" t="s">
        <v>449</v>
      </c>
      <c r="Q271" s="2">
        <v>46023</v>
      </c>
      <c r="R271" s="2">
        <v>46023</v>
      </c>
    </row>
    <row r="272" spans="1:18" x14ac:dyDescent="0.3">
      <c r="A272" t="s">
        <v>325</v>
      </c>
      <c r="B272" t="str">
        <f>VLOOKUP(A272,[1]!Tabela1[[PLACA]:[STATUS]],2,0)</f>
        <v>OK</v>
      </c>
      <c r="C272" s="2">
        <v>46310</v>
      </c>
      <c r="D272">
        <f t="shared" ca="1" si="4"/>
        <v>-4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184</v>
      </c>
      <c r="K272" t="s">
        <v>225</v>
      </c>
      <c r="L272" t="s">
        <v>11</v>
      </c>
      <c r="M272" t="s">
        <v>29</v>
      </c>
      <c r="N272" t="s">
        <v>119</v>
      </c>
      <c r="O272" t="s">
        <v>449</v>
      </c>
      <c r="Q272" s="2">
        <v>46023</v>
      </c>
      <c r="R272" s="2">
        <v>46023</v>
      </c>
    </row>
    <row r="273" spans="1:18" x14ac:dyDescent="0.3">
      <c r="A273" t="s">
        <v>326</v>
      </c>
      <c r="B273" t="str">
        <f>VLOOKUP(A273,[1]!Tabela1[[PLACA]:[STATUS]],2,0)</f>
        <v>OK</v>
      </c>
      <c r="C273" s="2">
        <v>46310</v>
      </c>
      <c r="D273">
        <f t="shared" ca="1" si="4"/>
        <v>-4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184</v>
      </c>
      <c r="K273" t="s">
        <v>225</v>
      </c>
      <c r="L273" t="s">
        <v>11</v>
      </c>
      <c r="M273" t="s">
        <v>29</v>
      </c>
      <c r="N273" t="s">
        <v>119</v>
      </c>
      <c r="O273" t="s">
        <v>449</v>
      </c>
      <c r="Q273" s="2">
        <v>46023</v>
      </c>
      <c r="R273" s="2">
        <v>46023</v>
      </c>
    </row>
    <row r="274" spans="1:18" x14ac:dyDescent="0.3">
      <c r="A274" t="s">
        <v>327</v>
      </c>
      <c r="B274" t="str">
        <f>VLOOKUP(A274,[1]!Tabela1[[PLACA]:[STATUS]],2,0)</f>
        <v>OK</v>
      </c>
      <c r="C274" s="2">
        <v>46310</v>
      </c>
      <c r="D274">
        <f t="shared" ca="1" si="4"/>
        <v>-4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184</v>
      </c>
      <c r="K274" t="s">
        <v>225</v>
      </c>
      <c r="L274" t="s">
        <v>11</v>
      </c>
      <c r="M274" t="s">
        <v>29</v>
      </c>
      <c r="N274" t="s">
        <v>119</v>
      </c>
      <c r="O274" t="s">
        <v>449</v>
      </c>
      <c r="Q274" s="2">
        <v>46023</v>
      </c>
      <c r="R274" s="2">
        <v>46023</v>
      </c>
    </row>
    <row r="275" spans="1:18" x14ac:dyDescent="0.3">
      <c r="A275" t="s">
        <v>328</v>
      </c>
      <c r="B275" t="str">
        <f>VLOOKUP(A275,[1]!Tabela1[[PLACA]:[STATUS]],2,0)</f>
        <v>OK</v>
      </c>
      <c r="C275" s="2">
        <v>46310</v>
      </c>
      <c r="D275">
        <f t="shared" ca="1" si="4"/>
        <v>-4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184</v>
      </c>
      <c r="K275" t="s">
        <v>225</v>
      </c>
      <c r="L275" t="s">
        <v>11</v>
      </c>
      <c r="M275" t="s">
        <v>29</v>
      </c>
      <c r="N275" t="s">
        <v>119</v>
      </c>
      <c r="O275" t="s">
        <v>449</v>
      </c>
      <c r="Q275" s="2">
        <v>46023</v>
      </c>
      <c r="R275" s="2">
        <v>46023</v>
      </c>
    </row>
    <row r="276" spans="1:18" x14ac:dyDescent="0.3">
      <c r="A276" t="s">
        <v>329</v>
      </c>
      <c r="B276" t="str">
        <f>VLOOKUP(A276,[1]!Tabela1[[PLACA]:[STATUS]],2,0)</f>
        <v>OK</v>
      </c>
      <c r="C276" s="2">
        <v>46309</v>
      </c>
      <c r="D276">
        <f t="shared" ca="1" si="4"/>
        <v>-5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184</v>
      </c>
      <c r="K276" t="s">
        <v>225</v>
      </c>
      <c r="L276" t="s">
        <v>11</v>
      </c>
      <c r="M276" t="s">
        <v>29</v>
      </c>
      <c r="N276" t="s">
        <v>119</v>
      </c>
      <c r="O276" t="s">
        <v>449</v>
      </c>
      <c r="Q276" s="2">
        <v>46023</v>
      </c>
      <c r="R276" s="2">
        <v>46023</v>
      </c>
    </row>
    <row r="277" spans="1:18" x14ac:dyDescent="0.3">
      <c r="A277" t="s">
        <v>330</v>
      </c>
      <c r="B277" t="str">
        <f>VLOOKUP(A277,[1]!Tabela1[[PLACA]:[STATUS]],2,0)</f>
        <v>OK</v>
      </c>
      <c r="C277" s="2">
        <v>46310</v>
      </c>
      <c r="D277">
        <f t="shared" ca="1" si="4"/>
        <v>-4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184</v>
      </c>
      <c r="K277" t="s">
        <v>225</v>
      </c>
      <c r="L277" t="s">
        <v>11</v>
      </c>
      <c r="M277" t="s">
        <v>29</v>
      </c>
      <c r="N277" t="s">
        <v>119</v>
      </c>
      <c r="O277" t="s">
        <v>449</v>
      </c>
      <c r="Q277" s="2">
        <v>46023</v>
      </c>
      <c r="R277" s="2">
        <v>46023</v>
      </c>
    </row>
    <row r="278" spans="1:18" x14ac:dyDescent="0.3">
      <c r="A278" t="s">
        <v>331</v>
      </c>
      <c r="B278" t="str">
        <f>VLOOKUP(A278,[1]!Tabela1[[PLACA]:[STATUS]],2,0)</f>
        <v>OK</v>
      </c>
      <c r="C278" s="2">
        <v>46309</v>
      </c>
      <c r="D278">
        <f t="shared" ca="1" si="4"/>
        <v>-5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184</v>
      </c>
      <c r="K278" t="s">
        <v>225</v>
      </c>
      <c r="L278" t="s">
        <v>11</v>
      </c>
      <c r="M278" t="s">
        <v>29</v>
      </c>
      <c r="N278" t="s">
        <v>119</v>
      </c>
      <c r="O278" t="s">
        <v>449</v>
      </c>
      <c r="Q278" s="2">
        <v>46023</v>
      </c>
      <c r="R278" s="2">
        <v>46023</v>
      </c>
    </row>
    <row r="279" spans="1:18" x14ac:dyDescent="0.3">
      <c r="A279" t="s">
        <v>332</v>
      </c>
      <c r="B279" t="str">
        <f>VLOOKUP(A279,[1]!Tabela1[[PLACA]:[STATUS]],2,0)</f>
        <v>OK</v>
      </c>
      <c r="C279" s="2">
        <v>46310</v>
      </c>
      <c r="D279">
        <f t="shared" ca="1" si="4"/>
        <v>-4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184</v>
      </c>
      <c r="K279" t="s">
        <v>225</v>
      </c>
      <c r="L279" t="s">
        <v>11</v>
      </c>
      <c r="M279" t="s">
        <v>29</v>
      </c>
      <c r="N279" t="s">
        <v>119</v>
      </c>
      <c r="O279" t="s">
        <v>449</v>
      </c>
      <c r="Q279" s="2">
        <v>46023</v>
      </c>
      <c r="R279" s="2">
        <v>46023</v>
      </c>
    </row>
    <row r="280" spans="1:18" x14ac:dyDescent="0.3">
      <c r="A280" t="s">
        <v>333</v>
      </c>
      <c r="B280" t="str">
        <f>VLOOKUP(A280,[1]!Tabela1[[PLACA]:[STATUS]],2,0)</f>
        <v>OK</v>
      </c>
      <c r="C280" s="2">
        <v>46310</v>
      </c>
      <c r="D280">
        <f t="shared" ca="1" si="4"/>
        <v>-4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184</v>
      </c>
      <c r="K280" t="s">
        <v>32</v>
      </c>
      <c r="L280" t="s">
        <v>33</v>
      </c>
      <c r="M280" t="s">
        <v>29</v>
      </c>
      <c r="N280" t="s">
        <v>466</v>
      </c>
      <c r="O280" t="s">
        <v>450</v>
      </c>
      <c r="Q280" s="2">
        <v>46023</v>
      </c>
      <c r="R280" s="2">
        <v>46023</v>
      </c>
    </row>
    <row r="281" spans="1:18" x14ac:dyDescent="0.3">
      <c r="A281" t="s">
        <v>334</v>
      </c>
      <c r="B281" t="str">
        <f>VLOOKUP(A281,[1]!Tabela1[[PLACA]:[STATUS]],2,0)</f>
        <v>OK</v>
      </c>
      <c r="C281" s="2">
        <v>46310</v>
      </c>
      <c r="D281">
        <f t="shared" ca="1" si="4"/>
        <v>-4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184</v>
      </c>
      <c r="K281" t="s">
        <v>32</v>
      </c>
      <c r="L281" t="s">
        <v>33</v>
      </c>
      <c r="M281" t="s">
        <v>29</v>
      </c>
      <c r="N281" t="s">
        <v>466</v>
      </c>
      <c r="O281" t="s">
        <v>450</v>
      </c>
      <c r="Q281" s="2">
        <v>46023</v>
      </c>
      <c r="R281" s="2">
        <v>46023</v>
      </c>
    </row>
    <row r="282" spans="1:18" x14ac:dyDescent="0.3">
      <c r="A282" t="s">
        <v>335</v>
      </c>
      <c r="B282" t="str">
        <f>VLOOKUP(A282,[1]!Tabela1[[PLACA]:[STATUS]],2,0)</f>
        <v>OK</v>
      </c>
      <c r="C282" s="2">
        <v>46310</v>
      </c>
      <c r="D282">
        <f t="shared" ca="1" si="4"/>
        <v>-4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184</v>
      </c>
      <c r="K282" t="s">
        <v>32</v>
      </c>
      <c r="L282" t="s">
        <v>33</v>
      </c>
      <c r="M282" t="s">
        <v>29</v>
      </c>
      <c r="N282" t="s">
        <v>466</v>
      </c>
      <c r="O282" t="s">
        <v>450</v>
      </c>
      <c r="Q282" s="2">
        <v>46023</v>
      </c>
      <c r="R282" s="2">
        <v>46023</v>
      </c>
    </row>
    <row r="283" spans="1:18" x14ac:dyDescent="0.3">
      <c r="A283" t="s">
        <v>336</v>
      </c>
      <c r="B283" t="str">
        <f>VLOOKUP(A283,[1]!Tabela1[[PLACA]:[STATUS]],2,0)</f>
        <v>OK</v>
      </c>
      <c r="C283" s="2">
        <v>46310</v>
      </c>
      <c r="D283">
        <f t="shared" ca="1" si="4"/>
        <v>-4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184</v>
      </c>
      <c r="K283" t="s">
        <v>32</v>
      </c>
      <c r="L283" t="s">
        <v>33</v>
      </c>
      <c r="M283" t="s">
        <v>29</v>
      </c>
      <c r="N283" t="s">
        <v>466</v>
      </c>
      <c r="O283" t="s">
        <v>450</v>
      </c>
      <c r="Q283" s="2">
        <v>46023</v>
      </c>
      <c r="R283" s="2">
        <v>46023</v>
      </c>
    </row>
    <row r="284" spans="1:18" x14ac:dyDescent="0.3">
      <c r="A284" t="s">
        <v>337</v>
      </c>
      <c r="B284" t="str">
        <f>VLOOKUP(A284,[1]!Tabela1[[PLACA]:[STATUS]],2,0)</f>
        <v>OK</v>
      </c>
      <c r="C284" s="2">
        <v>46310</v>
      </c>
      <c r="D284">
        <f t="shared" ca="1" si="4"/>
        <v>-4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184</v>
      </c>
      <c r="K284" t="s">
        <v>32</v>
      </c>
      <c r="L284" t="s">
        <v>33</v>
      </c>
      <c r="M284" t="s">
        <v>29</v>
      </c>
      <c r="N284" t="s">
        <v>466</v>
      </c>
      <c r="O284" t="s">
        <v>450</v>
      </c>
      <c r="Q284" s="2">
        <v>46023</v>
      </c>
      <c r="R284" s="2">
        <v>46023</v>
      </c>
    </row>
    <row r="285" spans="1:18" x14ac:dyDescent="0.3">
      <c r="A285" t="s">
        <v>338</v>
      </c>
      <c r="B285" t="str">
        <f>VLOOKUP(A285,[1]!Tabela1[[PLACA]:[STATUS]],2,0)</f>
        <v>OK</v>
      </c>
      <c r="C285" s="2">
        <v>46310</v>
      </c>
      <c r="D285">
        <f t="shared" ca="1" si="4"/>
        <v>-4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184</v>
      </c>
      <c r="K285" t="s">
        <v>32</v>
      </c>
      <c r="L285" t="s">
        <v>33</v>
      </c>
      <c r="M285" t="s">
        <v>29</v>
      </c>
      <c r="N285" t="s">
        <v>466</v>
      </c>
      <c r="O285" t="s">
        <v>450</v>
      </c>
      <c r="Q285" s="2">
        <v>46023</v>
      </c>
      <c r="R285" s="2">
        <v>46023</v>
      </c>
    </row>
    <row r="286" spans="1:18" x14ac:dyDescent="0.3">
      <c r="A286" t="s">
        <v>339</v>
      </c>
      <c r="B286" t="str">
        <f>VLOOKUP(A286,[1]!Tabela1[[PLACA]:[STATUS]],2,0)</f>
        <v>OK</v>
      </c>
      <c r="C286" s="2">
        <v>46310</v>
      </c>
      <c r="D286">
        <f t="shared" ca="1" si="4"/>
        <v>-4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184</v>
      </c>
      <c r="K286" t="s">
        <v>32</v>
      </c>
      <c r="L286" t="s">
        <v>33</v>
      </c>
      <c r="M286" t="s">
        <v>29</v>
      </c>
      <c r="N286" t="s">
        <v>466</v>
      </c>
      <c r="O286" t="s">
        <v>450</v>
      </c>
      <c r="Q286" s="2">
        <v>46023</v>
      </c>
      <c r="R286" s="2">
        <v>46023</v>
      </c>
    </row>
    <row r="287" spans="1:18" x14ac:dyDescent="0.3">
      <c r="A287" t="s">
        <v>340</v>
      </c>
      <c r="B287" t="str">
        <f>VLOOKUP(A287,[1]!Tabela1[[PLACA]:[STATUS]],2,0)</f>
        <v>OK</v>
      </c>
      <c r="C287" s="2">
        <v>46307</v>
      </c>
      <c r="D287">
        <f t="shared" ca="1" si="4"/>
        <v>-7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184</v>
      </c>
      <c r="K287" t="s">
        <v>32</v>
      </c>
      <c r="L287" t="s">
        <v>33</v>
      </c>
      <c r="M287" t="s">
        <v>29</v>
      </c>
      <c r="N287" t="s">
        <v>466</v>
      </c>
      <c r="O287" t="s">
        <v>450</v>
      </c>
      <c r="Q287" s="2">
        <v>46023</v>
      </c>
      <c r="R287" s="2">
        <v>46023</v>
      </c>
    </row>
    <row r="288" spans="1:18" x14ac:dyDescent="0.3">
      <c r="A288" t="s">
        <v>341</v>
      </c>
      <c r="B288" t="str">
        <f>VLOOKUP(A288,[1]!Tabela1[[PLACA]:[STATUS]],2,0)</f>
        <v>OK</v>
      </c>
      <c r="C288" s="2">
        <v>46091</v>
      </c>
      <c r="D288">
        <f t="shared" ca="1" si="4"/>
        <v>-223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184</v>
      </c>
      <c r="K288" t="s">
        <v>32</v>
      </c>
      <c r="L288" t="s">
        <v>33</v>
      </c>
      <c r="M288" t="s">
        <v>29</v>
      </c>
      <c r="N288" t="s">
        <v>466</v>
      </c>
      <c r="O288" t="s">
        <v>450</v>
      </c>
      <c r="Q288" s="2">
        <v>46023</v>
      </c>
      <c r="R288" s="2">
        <v>46023</v>
      </c>
    </row>
    <row r="289" spans="1:18" x14ac:dyDescent="0.3">
      <c r="A289" t="s">
        <v>342</v>
      </c>
      <c r="B289" t="str">
        <f>VLOOKUP(A289,[1]!Tabela1[[PLACA]:[STATUS]],2,0)</f>
        <v>OK</v>
      </c>
      <c r="C289" s="2">
        <v>46310</v>
      </c>
      <c r="D289">
        <f t="shared" ca="1" si="4"/>
        <v>-4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184</v>
      </c>
      <c r="K289" t="s">
        <v>32</v>
      </c>
      <c r="L289" t="s">
        <v>33</v>
      </c>
      <c r="M289" t="s">
        <v>29</v>
      </c>
      <c r="N289" t="s">
        <v>466</v>
      </c>
      <c r="O289" t="s">
        <v>450</v>
      </c>
      <c r="Q289" s="2">
        <v>46023</v>
      </c>
      <c r="R289" s="2">
        <v>46023</v>
      </c>
    </row>
    <row r="290" spans="1:18" x14ac:dyDescent="0.3">
      <c r="A290" t="s">
        <v>343</v>
      </c>
      <c r="B290" t="str">
        <f>VLOOKUP(A290,[1]!Tabela1[[PLACA]:[STATUS]],2,0)</f>
        <v>OK</v>
      </c>
      <c r="C290" s="2">
        <v>46310</v>
      </c>
      <c r="D290">
        <f t="shared" ca="1" si="4"/>
        <v>-4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184</v>
      </c>
      <c r="K290" t="s">
        <v>32</v>
      </c>
      <c r="L290" t="s">
        <v>33</v>
      </c>
      <c r="M290" t="s">
        <v>29</v>
      </c>
      <c r="N290" t="s">
        <v>466</v>
      </c>
      <c r="O290" t="s">
        <v>450</v>
      </c>
      <c r="Q290" s="2">
        <v>46023</v>
      </c>
      <c r="R290" s="2">
        <v>46023</v>
      </c>
    </row>
    <row r="291" spans="1:18" x14ac:dyDescent="0.3">
      <c r="A291" t="s">
        <v>344</v>
      </c>
      <c r="B291" t="str">
        <f>VLOOKUP(A291,[1]!Tabela1[[PLACA]:[STATUS]],2,0)</f>
        <v>OK</v>
      </c>
      <c r="C291" s="2">
        <v>46310</v>
      </c>
      <c r="D291">
        <f t="shared" ca="1" si="4"/>
        <v>-4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184</v>
      </c>
      <c r="K291" t="s">
        <v>118</v>
      </c>
      <c r="L291" t="s">
        <v>33</v>
      </c>
      <c r="M291" t="s">
        <v>29</v>
      </c>
      <c r="N291" t="s">
        <v>466</v>
      </c>
      <c r="O291" t="s">
        <v>450</v>
      </c>
      <c r="Q291" s="2">
        <v>46023</v>
      </c>
      <c r="R291" s="2">
        <v>46023</v>
      </c>
    </row>
    <row r="292" spans="1:18" x14ac:dyDescent="0.3">
      <c r="A292" t="s">
        <v>345</v>
      </c>
      <c r="B292" t="str">
        <f>VLOOKUP(A292,[1]!Tabela1[[PLACA]:[STATUS]],2,0)</f>
        <v>OK</v>
      </c>
      <c r="C292" s="2">
        <v>46310</v>
      </c>
      <c r="D292">
        <f t="shared" ca="1" si="4"/>
        <v>-4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184</v>
      </c>
      <c r="K292" t="s">
        <v>118</v>
      </c>
      <c r="L292" t="s">
        <v>33</v>
      </c>
      <c r="M292" t="s">
        <v>29</v>
      </c>
      <c r="N292" t="s">
        <v>466</v>
      </c>
      <c r="O292" t="s">
        <v>450</v>
      </c>
      <c r="Q292" s="2">
        <v>46023</v>
      </c>
      <c r="R292" s="2">
        <v>46023</v>
      </c>
    </row>
    <row r="293" spans="1:18" x14ac:dyDescent="0.3">
      <c r="A293" t="s">
        <v>346</v>
      </c>
      <c r="B293" t="str">
        <f>VLOOKUP(A293,[1]!Tabela1[[PLACA]:[STATUS]],2,0)</f>
        <v>OK</v>
      </c>
      <c r="C293" s="2">
        <v>46310</v>
      </c>
      <c r="D293">
        <f t="shared" ca="1" si="4"/>
        <v>-4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184</v>
      </c>
      <c r="K293" t="s">
        <v>118</v>
      </c>
      <c r="L293" t="s">
        <v>33</v>
      </c>
      <c r="M293" t="s">
        <v>29</v>
      </c>
      <c r="N293" t="s">
        <v>466</v>
      </c>
      <c r="O293" t="s">
        <v>450</v>
      </c>
      <c r="Q293" s="2">
        <v>46023</v>
      </c>
      <c r="R293" s="2">
        <v>46023</v>
      </c>
    </row>
    <row r="294" spans="1:18" x14ac:dyDescent="0.3">
      <c r="A294" t="s">
        <v>347</v>
      </c>
      <c r="B294" t="str">
        <f>VLOOKUP(A294,[1]!Tabela1[[PLACA]:[STATUS]],2,0)</f>
        <v>OK</v>
      </c>
      <c r="C294" s="2">
        <v>46310</v>
      </c>
      <c r="D294">
        <f t="shared" ca="1" si="4"/>
        <v>-4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184</v>
      </c>
      <c r="K294" t="s">
        <v>118</v>
      </c>
      <c r="L294" t="s">
        <v>33</v>
      </c>
      <c r="M294" t="s">
        <v>29</v>
      </c>
      <c r="N294" t="s">
        <v>466</v>
      </c>
      <c r="O294" t="s">
        <v>450</v>
      </c>
      <c r="Q294" s="2">
        <v>46023</v>
      </c>
      <c r="R294" s="2">
        <v>46023</v>
      </c>
    </row>
    <row r="295" spans="1:18" x14ac:dyDescent="0.3">
      <c r="A295" t="s">
        <v>348</v>
      </c>
      <c r="B295" t="str">
        <f>VLOOKUP(A295,[1]!Tabela1[[PLACA]:[STATUS]],2,0)</f>
        <v>OK</v>
      </c>
      <c r="C295" s="2">
        <v>46310</v>
      </c>
      <c r="D295">
        <f t="shared" ca="1" si="4"/>
        <v>-4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184</v>
      </c>
      <c r="K295" t="s">
        <v>118</v>
      </c>
      <c r="L295" t="s">
        <v>33</v>
      </c>
      <c r="M295" t="s">
        <v>29</v>
      </c>
      <c r="N295" t="s">
        <v>466</v>
      </c>
      <c r="O295" t="s">
        <v>450</v>
      </c>
      <c r="Q295" s="2">
        <v>46023</v>
      </c>
      <c r="R295" s="2">
        <v>46023</v>
      </c>
    </row>
    <row r="296" spans="1:18" x14ac:dyDescent="0.3">
      <c r="A296" t="s">
        <v>349</v>
      </c>
      <c r="B296" t="str">
        <f>VLOOKUP(A296,[1]!Tabela1[[PLACA]:[STATUS]],2,0)</f>
        <v>OK</v>
      </c>
      <c r="C296" s="2">
        <v>46310</v>
      </c>
      <c r="D296">
        <f t="shared" ca="1" si="4"/>
        <v>-4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184</v>
      </c>
      <c r="K296" t="s">
        <v>118</v>
      </c>
      <c r="L296" t="s">
        <v>33</v>
      </c>
      <c r="M296" t="s">
        <v>29</v>
      </c>
      <c r="N296" t="s">
        <v>466</v>
      </c>
      <c r="O296" t="s">
        <v>450</v>
      </c>
      <c r="Q296" s="2">
        <v>46023</v>
      </c>
      <c r="R296" s="2">
        <v>46023</v>
      </c>
    </row>
    <row r="297" spans="1:18" x14ac:dyDescent="0.3">
      <c r="A297" t="s">
        <v>350</v>
      </c>
      <c r="B297" t="str">
        <f>VLOOKUP(A297,[1]!Tabela1[[PLACA]:[STATUS]],2,0)</f>
        <v>OK</v>
      </c>
      <c r="C297" s="2">
        <v>46310</v>
      </c>
      <c r="D297">
        <f t="shared" ca="1" si="4"/>
        <v>-4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184</v>
      </c>
      <c r="K297" t="s">
        <v>118</v>
      </c>
      <c r="L297" t="s">
        <v>33</v>
      </c>
      <c r="M297" t="s">
        <v>29</v>
      </c>
      <c r="N297" t="s">
        <v>466</v>
      </c>
      <c r="O297" t="s">
        <v>450</v>
      </c>
      <c r="Q297" s="2">
        <v>46023</v>
      </c>
      <c r="R297" s="2">
        <v>46023</v>
      </c>
    </row>
    <row r="298" spans="1:18" x14ac:dyDescent="0.3">
      <c r="A298" t="s">
        <v>351</v>
      </c>
      <c r="B298" t="str">
        <f>VLOOKUP(A298,[1]!Tabela1[[PLACA]:[STATUS]],2,0)</f>
        <v>OK</v>
      </c>
      <c r="C298" s="2">
        <v>46310</v>
      </c>
      <c r="D298">
        <f t="shared" ca="1" si="4"/>
        <v>-4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184</v>
      </c>
      <c r="K298" t="s">
        <v>118</v>
      </c>
      <c r="L298" t="s">
        <v>33</v>
      </c>
      <c r="M298" t="s">
        <v>29</v>
      </c>
      <c r="N298" t="s">
        <v>466</v>
      </c>
      <c r="O298" t="s">
        <v>450</v>
      </c>
      <c r="Q298" s="2">
        <v>46023</v>
      </c>
      <c r="R298" s="2">
        <v>46023</v>
      </c>
    </row>
    <row r="299" spans="1:18" x14ac:dyDescent="0.3">
      <c r="A299" t="s">
        <v>352</v>
      </c>
      <c r="B299" t="str">
        <f>VLOOKUP(A299,[1]!Tabela1[[PLACA]:[STATUS]],2,0)</f>
        <v>OK</v>
      </c>
      <c r="C299" s="2">
        <v>46310</v>
      </c>
      <c r="D299">
        <f t="shared" ca="1" si="4"/>
        <v>-4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184</v>
      </c>
      <c r="K299" t="s">
        <v>118</v>
      </c>
      <c r="L299" t="s">
        <v>33</v>
      </c>
      <c r="M299" t="s">
        <v>29</v>
      </c>
      <c r="N299" t="s">
        <v>466</v>
      </c>
      <c r="O299" t="s">
        <v>450</v>
      </c>
      <c r="Q299" s="2">
        <v>46023</v>
      </c>
      <c r="R299" s="2">
        <v>46023</v>
      </c>
    </row>
    <row r="300" spans="1:18" x14ac:dyDescent="0.3">
      <c r="A300" t="s">
        <v>353</v>
      </c>
      <c r="B300" t="str">
        <f>VLOOKUP(A300,[1]!Tabela1[[PLACA]:[STATUS]],2,0)</f>
        <v>OK</v>
      </c>
      <c r="C300" s="2">
        <v>46310</v>
      </c>
      <c r="D300">
        <f t="shared" ca="1" si="4"/>
        <v>-4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184</v>
      </c>
      <c r="K300" t="s">
        <v>118</v>
      </c>
      <c r="L300" t="s">
        <v>33</v>
      </c>
      <c r="M300" t="s">
        <v>29</v>
      </c>
      <c r="N300" t="s">
        <v>466</v>
      </c>
      <c r="O300" t="s">
        <v>450</v>
      </c>
      <c r="Q300" s="2">
        <v>46023</v>
      </c>
      <c r="R300" s="2">
        <v>46023</v>
      </c>
    </row>
    <row r="301" spans="1:18" x14ac:dyDescent="0.3">
      <c r="A301" t="s">
        <v>354</v>
      </c>
      <c r="B301" t="str">
        <f>VLOOKUP(A301,[1]!Tabela1[[PLACA]:[STATUS]],2,0)</f>
        <v>OK</v>
      </c>
      <c r="C301" s="2">
        <v>46310</v>
      </c>
      <c r="D301">
        <f t="shared" ca="1" si="4"/>
        <v>-4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184</v>
      </c>
      <c r="K301" t="s">
        <v>118</v>
      </c>
      <c r="L301" t="s">
        <v>33</v>
      </c>
      <c r="M301" t="s">
        <v>29</v>
      </c>
      <c r="N301" t="s">
        <v>466</v>
      </c>
      <c r="O301" t="s">
        <v>450</v>
      </c>
      <c r="Q301" s="2">
        <v>46023</v>
      </c>
      <c r="R301" s="2">
        <v>46023</v>
      </c>
    </row>
    <row r="302" spans="1:18" x14ac:dyDescent="0.3">
      <c r="A302" t="s">
        <v>355</v>
      </c>
      <c r="B302" t="str">
        <f>VLOOKUP(A302,[1]!Tabela1[[PLACA]:[STATUS]],2,0)</f>
        <v>OK</v>
      </c>
      <c r="C302" s="2">
        <v>46309</v>
      </c>
      <c r="D302">
        <f t="shared" ca="1" si="4"/>
        <v>-5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184</v>
      </c>
      <c r="K302" t="s">
        <v>118</v>
      </c>
      <c r="L302" t="s">
        <v>33</v>
      </c>
      <c r="M302" t="s">
        <v>29</v>
      </c>
      <c r="N302" t="s">
        <v>466</v>
      </c>
      <c r="O302" t="s">
        <v>450</v>
      </c>
      <c r="Q302" s="2">
        <v>46023</v>
      </c>
      <c r="R302" s="2">
        <v>46023</v>
      </c>
    </row>
    <row r="303" spans="1:18" x14ac:dyDescent="0.3">
      <c r="A303" t="s">
        <v>356</v>
      </c>
      <c r="B303" t="str">
        <f>VLOOKUP(A303,[1]!Tabela1[[PLACA]:[STATUS]],2,0)</f>
        <v>OK</v>
      </c>
      <c r="C303" s="2">
        <v>46310</v>
      </c>
      <c r="D303">
        <f t="shared" ca="1" si="4"/>
        <v>-4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184</v>
      </c>
      <c r="K303" t="s">
        <v>118</v>
      </c>
      <c r="L303" t="s">
        <v>33</v>
      </c>
      <c r="M303" t="s">
        <v>23</v>
      </c>
      <c r="N303" t="s">
        <v>119</v>
      </c>
      <c r="O303" t="s">
        <v>120</v>
      </c>
      <c r="Q303" s="2">
        <v>46023</v>
      </c>
      <c r="R303" s="2">
        <v>46023</v>
      </c>
    </row>
    <row r="304" spans="1:18" x14ac:dyDescent="0.3">
      <c r="A304" t="s">
        <v>357</v>
      </c>
      <c r="B304" t="str">
        <f>VLOOKUP(A304,[1]!Tabela1[[PLACA]:[STATUS]],2,0)</f>
        <v>OK</v>
      </c>
      <c r="C304" s="2">
        <v>46310</v>
      </c>
      <c r="D304">
        <f t="shared" ca="1" si="4"/>
        <v>-4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184</v>
      </c>
      <c r="K304" t="s">
        <v>118</v>
      </c>
      <c r="L304" t="s">
        <v>33</v>
      </c>
      <c r="M304" t="s">
        <v>23</v>
      </c>
      <c r="N304" t="s">
        <v>119</v>
      </c>
      <c r="O304" t="s">
        <v>120</v>
      </c>
      <c r="Q304" s="2">
        <v>46023</v>
      </c>
      <c r="R304" s="2">
        <v>46023</v>
      </c>
    </row>
    <row r="305" spans="1:18" x14ac:dyDescent="0.3">
      <c r="A305" t="s">
        <v>358</v>
      </c>
      <c r="B305" t="str">
        <f>VLOOKUP(A305,[1]!Tabela1[[PLACA]:[STATUS]],2,0)</f>
        <v>OK</v>
      </c>
      <c r="C305" s="2">
        <v>46310</v>
      </c>
      <c r="D305">
        <f t="shared" ca="1" si="4"/>
        <v>-4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184</v>
      </c>
      <c r="K305" t="s">
        <v>118</v>
      </c>
      <c r="L305" t="s">
        <v>33</v>
      </c>
      <c r="M305" t="s">
        <v>23</v>
      </c>
      <c r="N305" t="s">
        <v>119</v>
      </c>
      <c r="O305" t="s">
        <v>120</v>
      </c>
      <c r="Q305" s="2">
        <v>46023</v>
      </c>
      <c r="R305" s="2">
        <v>46023</v>
      </c>
    </row>
    <row r="306" spans="1:18" x14ac:dyDescent="0.3">
      <c r="A306" t="s">
        <v>359</v>
      </c>
      <c r="B306" t="str">
        <f>VLOOKUP(A306,[1]!Tabela1[[PLACA]:[STATUS]],2,0)</f>
        <v>OK</v>
      </c>
      <c r="C306" s="2">
        <v>46310</v>
      </c>
      <c r="D306">
        <f t="shared" ca="1" si="4"/>
        <v>-4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184</v>
      </c>
      <c r="K306" t="s">
        <v>118</v>
      </c>
      <c r="L306" t="s">
        <v>33</v>
      </c>
      <c r="M306" t="s">
        <v>23</v>
      </c>
      <c r="N306" t="s">
        <v>119</v>
      </c>
      <c r="O306" t="s">
        <v>120</v>
      </c>
      <c r="Q306" s="2">
        <v>46023</v>
      </c>
      <c r="R306" s="2">
        <v>46023</v>
      </c>
    </row>
    <row r="307" spans="1:18" x14ac:dyDescent="0.3">
      <c r="A307" t="s">
        <v>360</v>
      </c>
      <c r="B307" t="str">
        <f>VLOOKUP(A307,[1]!Tabela1[[PLACA]:[STATUS]],2,0)</f>
        <v>OK</v>
      </c>
      <c r="C307" s="2">
        <v>46310</v>
      </c>
      <c r="D307">
        <f t="shared" ca="1" si="4"/>
        <v>-4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184</v>
      </c>
      <c r="K307" t="s">
        <v>118</v>
      </c>
      <c r="L307" t="s">
        <v>33</v>
      </c>
      <c r="M307" t="s">
        <v>23</v>
      </c>
      <c r="N307" t="s">
        <v>119</v>
      </c>
      <c r="O307" t="s">
        <v>120</v>
      </c>
      <c r="Q307" s="2">
        <v>46023</v>
      </c>
      <c r="R307" s="2">
        <v>46023</v>
      </c>
    </row>
    <row r="308" spans="1:18" x14ac:dyDescent="0.3">
      <c r="A308" t="s">
        <v>361</v>
      </c>
      <c r="B308" t="str">
        <f>VLOOKUP(A308,[1]!Tabela1[[PLACA]:[STATUS]],2,0)</f>
        <v>OK</v>
      </c>
      <c r="C308" s="2">
        <v>46310</v>
      </c>
      <c r="D308">
        <f t="shared" ca="1" si="4"/>
        <v>-4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184</v>
      </c>
      <c r="K308" t="s">
        <v>118</v>
      </c>
      <c r="L308" t="s">
        <v>33</v>
      </c>
      <c r="M308" t="s">
        <v>12</v>
      </c>
      <c r="N308" t="s">
        <v>24</v>
      </c>
      <c r="O308" t="s">
        <v>451</v>
      </c>
      <c r="Q308" s="2">
        <v>46023</v>
      </c>
      <c r="R308" s="2">
        <v>46023</v>
      </c>
    </row>
    <row r="309" spans="1:18" x14ac:dyDescent="0.3">
      <c r="A309" t="s">
        <v>362</v>
      </c>
      <c r="B309" t="str">
        <f>VLOOKUP(A309,[1]!Tabela1[[PLACA]:[STATUS]],2,0)</f>
        <v>OK</v>
      </c>
      <c r="C309" s="2">
        <v>46302</v>
      </c>
      <c r="D309">
        <f t="shared" ca="1" si="4"/>
        <v>-12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184</v>
      </c>
      <c r="K309" t="s">
        <v>118</v>
      </c>
      <c r="L309" t="s">
        <v>33</v>
      </c>
      <c r="M309" t="s">
        <v>12</v>
      </c>
      <c r="N309" t="s">
        <v>24</v>
      </c>
      <c r="O309" t="s">
        <v>451</v>
      </c>
      <c r="Q309" s="2">
        <v>46023</v>
      </c>
      <c r="R309" s="2">
        <v>46023</v>
      </c>
    </row>
    <row r="310" spans="1:18" x14ac:dyDescent="0.3">
      <c r="A310" t="s">
        <v>363</v>
      </c>
      <c r="B310" t="str">
        <f>VLOOKUP(A310,[1]!Tabela1[[PLACA]:[STATUS]],2,0)</f>
        <v>OK</v>
      </c>
      <c r="C310" s="2">
        <v>46310</v>
      </c>
      <c r="D310">
        <f t="shared" ca="1" si="4"/>
        <v>-4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184</v>
      </c>
      <c r="K310" t="s">
        <v>118</v>
      </c>
      <c r="L310" t="s">
        <v>33</v>
      </c>
      <c r="M310" t="s">
        <v>12</v>
      </c>
      <c r="N310" t="s">
        <v>24</v>
      </c>
      <c r="O310" t="s">
        <v>451</v>
      </c>
      <c r="Q310" s="2">
        <v>46023</v>
      </c>
      <c r="R310" s="2">
        <v>46023</v>
      </c>
    </row>
    <row r="311" spans="1:18" x14ac:dyDescent="0.3">
      <c r="A311" t="s">
        <v>364</v>
      </c>
      <c r="B311" t="str">
        <f>VLOOKUP(A311,[1]!Tabela1[[PLACA]:[STATUS]],2,0)</f>
        <v>OK</v>
      </c>
      <c r="C311" s="2">
        <v>46310</v>
      </c>
      <c r="D311">
        <f t="shared" ca="1" si="4"/>
        <v>-4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184</v>
      </c>
      <c r="K311" t="s">
        <v>118</v>
      </c>
      <c r="L311" t="s">
        <v>33</v>
      </c>
      <c r="M311" t="s">
        <v>12</v>
      </c>
      <c r="N311" t="s">
        <v>24</v>
      </c>
      <c r="O311" t="s">
        <v>451</v>
      </c>
      <c r="Q311" s="2">
        <v>46023</v>
      </c>
      <c r="R311" s="2">
        <v>46023</v>
      </c>
    </row>
    <row r="312" spans="1:18" x14ac:dyDescent="0.3">
      <c r="A312" t="s">
        <v>365</v>
      </c>
      <c r="B312" t="str">
        <f>VLOOKUP(A312,[1]!Tabela1[[PLACA]:[STATUS]],2,0)</f>
        <v>OK</v>
      </c>
      <c r="C312" s="2">
        <v>46262</v>
      </c>
      <c r="D312">
        <f t="shared" ca="1" si="4"/>
        <v>-52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184</v>
      </c>
      <c r="K312" t="s">
        <v>118</v>
      </c>
      <c r="L312" t="s">
        <v>33</v>
      </c>
      <c r="M312" t="s">
        <v>12</v>
      </c>
      <c r="N312" t="s">
        <v>24</v>
      </c>
      <c r="O312" t="s">
        <v>451</v>
      </c>
      <c r="Q312" s="2">
        <v>46023</v>
      </c>
      <c r="R312" s="2">
        <v>46023</v>
      </c>
    </row>
    <row r="313" spans="1:18" x14ac:dyDescent="0.3">
      <c r="A313" t="s">
        <v>366</v>
      </c>
      <c r="B313" t="str">
        <f>VLOOKUP(A313,[1]!Tabela1[[PLACA]:[STATUS]],2,0)</f>
        <v>OK</v>
      </c>
      <c r="C313" s="2">
        <v>46310</v>
      </c>
      <c r="D313">
        <f t="shared" ca="1" si="4"/>
        <v>-4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184</v>
      </c>
      <c r="K313" t="s">
        <v>118</v>
      </c>
      <c r="L313" t="s">
        <v>33</v>
      </c>
      <c r="M313" t="s">
        <v>12</v>
      </c>
      <c r="N313" t="s">
        <v>24</v>
      </c>
      <c r="O313" t="s">
        <v>451</v>
      </c>
      <c r="Q313" s="2">
        <v>46023</v>
      </c>
      <c r="R313" s="2">
        <v>46023</v>
      </c>
    </row>
    <row r="314" spans="1:18" x14ac:dyDescent="0.3">
      <c r="A314" t="s">
        <v>367</v>
      </c>
      <c r="B314" t="str">
        <f>VLOOKUP(A314,[1]!Tabela1[[PLACA]:[STATUS]],2,0)</f>
        <v>OK</v>
      </c>
      <c r="C314" s="2">
        <v>46310</v>
      </c>
      <c r="D314">
        <f t="shared" ca="1" si="4"/>
        <v>-4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184</v>
      </c>
      <c r="K314" t="s">
        <v>118</v>
      </c>
      <c r="L314" t="s">
        <v>33</v>
      </c>
      <c r="M314" t="s">
        <v>29</v>
      </c>
      <c r="N314" t="s">
        <v>24</v>
      </c>
      <c r="O314" t="s">
        <v>449</v>
      </c>
      <c r="Q314" s="2">
        <v>46023</v>
      </c>
      <c r="R314" s="2">
        <v>46023</v>
      </c>
    </row>
    <row r="315" spans="1:18" x14ac:dyDescent="0.3">
      <c r="A315" t="s">
        <v>368</v>
      </c>
      <c r="B315" t="str">
        <f>VLOOKUP(A315,[1]!Tabela1[[PLACA]:[STATUS]],2,0)</f>
        <v>OK</v>
      </c>
      <c r="C315" s="2">
        <v>46309</v>
      </c>
      <c r="D315">
        <f t="shared" ca="1" si="4"/>
        <v>-5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184</v>
      </c>
      <c r="K315" t="s">
        <v>118</v>
      </c>
      <c r="L315" t="s">
        <v>33</v>
      </c>
      <c r="M315" t="s">
        <v>29</v>
      </c>
      <c r="N315" t="s">
        <v>24</v>
      </c>
      <c r="O315" t="s">
        <v>449</v>
      </c>
      <c r="Q315" s="2">
        <v>46023</v>
      </c>
      <c r="R315" s="2">
        <v>46023</v>
      </c>
    </row>
    <row r="316" spans="1:18" x14ac:dyDescent="0.3">
      <c r="A316" t="s">
        <v>369</v>
      </c>
      <c r="B316" t="str">
        <f>VLOOKUP(A316,[1]!Tabela1[[PLACA]:[STATUS]],2,0)</f>
        <v>OK</v>
      </c>
      <c r="C316" s="2">
        <v>46310</v>
      </c>
      <c r="D316">
        <f t="shared" ca="1" si="4"/>
        <v>-4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184</v>
      </c>
      <c r="K316" t="s">
        <v>118</v>
      </c>
      <c r="L316" t="s">
        <v>33</v>
      </c>
      <c r="M316" t="s">
        <v>29</v>
      </c>
      <c r="N316" t="s">
        <v>24</v>
      </c>
      <c r="O316" t="s">
        <v>449</v>
      </c>
      <c r="Q316" s="2">
        <v>46023</v>
      </c>
      <c r="R316" s="2">
        <v>46023</v>
      </c>
    </row>
    <row r="317" spans="1:18" x14ac:dyDescent="0.3">
      <c r="A317" t="s">
        <v>370</v>
      </c>
      <c r="B317" t="str">
        <f>VLOOKUP(A317,[1]!Tabela1[[PLACA]:[STATUS]],2,0)</f>
        <v>OK</v>
      </c>
      <c r="C317" s="2">
        <v>46310</v>
      </c>
      <c r="D317">
        <f t="shared" ca="1" si="4"/>
        <v>-4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184</v>
      </c>
      <c r="K317" t="s">
        <v>118</v>
      </c>
      <c r="L317" t="s">
        <v>33</v>
      </c>
      <c r="M317" t="s">
        <v>12</v>
      </c>
      <c r="N317" t="s">
        <v>24</v>
      </c>
      <c r="O317" t="s">
        <v>451</v>
      </c>
      <c r="Q317" s="2">
        <v>46023</v>
      </c>
      <c r="R317" s="2">
        <v>46023</v>
      </c>
    </row>
    <row r="318" spans="1:18" x14ac:dyDescent="0.3">
      <c r="A318" t="s">
        <v>371</v>
      </c>
      <c r="B318" t="str">
        <f>VLOOKUP(A318,[1]!Tabela1[[PLACA]:[STATUS]],2,0)</f>
        <v>OK</v>
      </c>
      <c r="C318" s="2">
        <v>46244</v>
      </c>
      <c r="D318">
        <f t="shared" ca="1" si="4"/>
        <v>-70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184</v>
      </c>
      <c r="K318" t="s">
        <v>118</v>
      </c>
      <c r="L318" t="s">
        <v>33</v>
      </c>
      <c r="M318" t="s">
        <v>12</v>
      </c>
      <c r="N318" t="s">
        <v>24</v>
      </c>
      <c r="O318" t="s">
        <v>451</v>
      </c>
      <c r="Q318" s="2">
        <v>46023</v>
      </c>
      <c r="R318" s="2">
        <v>46023</v>
      </c>
    </row>
    <row r="319" spans="1:18" x14ac:dyDescent="0.3">
      <c r="A319" t="s">
        <v>372</v>
      </c>
      <c r="B319" t="str">
        <f>VLOOKUP(A319,[1]!Tabela1[[PLACA]:[STATUS]],2,0)</f>
        <v>OK</v>
      </c>
      <c r="C319" s="2">
        <v>46309</v>
      </c>
      <c r="D319">
        <f t="shared" ca="1" si="4"/>
        <v>-5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184</v>
      </c>
      <c r="K319" t="s">
        <v>45</v>
      </c>
      <c r="L319" t="s">
        <v>11</v>
      </c>
      <c r="M319" t="s">
        <v>12</v>
      </c>
      <c r="N319" t="s">
        <v>119</v>
      </c>
      <c r="O319" t="s">
        <v>451</v>
      </c>
      <c r="Q319" s="2">
        <v>46023</v>
      </c>
      <c r="R319" s="2">
        <v>46023</v>
      </c>
    </row>
    <row r="320" spans="1:18" x14ac:dyDescent="0.3">
      <c r="A320" t="s">
        <v>373</v>
      </c>
      <c r="B320" t="str">
        <f>VLOOKUP(A320,[1]!Tabela1[[PLACA]:[STATUS]],2,0)</f>
        <v>OK</v>
      </c>
      <c r="C320" s="2">
        <v>46306</v>
      </c>
      <c r="D320">
        <f t="shared" ca="1" si="4"/>
        <v>-8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184</v>
      </c>
      <c r="K320" t="s">
        <v>464</v>
      </c>
      <c r="L320" t="s">
        <v>11</v>
      </c>
      <c r="M320" t="s">
        <v>12</v>
      </c>
      <c r="N320" t="s">
        <v>119</v>
      </c>
      <c r="O320" t="s">
        <v>451</v>
      </c>
      <c r="Q320" s="2">
        <v>46023</v>
      </c>
      <c r="R320" s="2">
        <v>46023</v>
      </c>
    </row>
    <row r="321" spans="1:18" x14ac:dyDescent="0.3">
      <c r="A321" t="s">
        <v>374</v>
      </c>
      <c r="B321" t="str">
        <f>VLOOKUP(A321,[1]!Tabela1[[PLACA]:[STATUS]],2,0)</f>
        <v>OK</v>
      </c>
      <c r="C321" s="2">
        <v>46310</v>
      </c>
      <c r="D321">
        <f t="shared" ref="D321:D384" ca="1" si="5">C321-$S$1</f>
        <v>-4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184</v>
      </c>
      <c r="K321" t="s">
        <v>45</v>
      </c>
      <c r="L321" t="s">
        <v>11</v>
      </c>
      <c r="M321" t="s">
        <v>12</v>
      </c>
      <c r="N321" t="s">
        <v>119</v>
      </c>
      <c r="O321" t="s">
        <v>451</v>
      </c>
      <c r="Q321" s="2">
        <v>46023</v>
      </c>
      <c r="R321" s="2">
        <v>46023</v>
      </c>
    </row>
    <row r="322" spans="1:18" x14ac:dyDescent="0.3">
      <c r="A322" t="s">
        <v>375</v>
      </c>
      <c r="B322" t="str">
        <f>VLOOKUP(A322,[1]!Tabela1[[PLACA]:[STATUS]],2,0)</f>
        <v>OK</v>
      </c>
      <c r="C322" s="2">
        <v>46307</v>
      </c>
      <c r="D322">
        <f t="shared" ca="1" si="5"/>
        <v>-7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184</v>
      </c>
      <c r="K322" t="s">
        <v>464</v>
      </c>
      <c r="L322" t="s">
        <v>11</v>
      </c>
      <c r="M322" t="s">
        <v>12</v>
      </c>
      <c r="N322" t="s">
        <v>119</v>
      </c>
      <c r="O322" t="s">
        <v>451</v>
      </c>
      <c r="Q322" s="2">
        <v>46023</v>
      </c>
      <c r="R322" s="2">
        <v>46023</v>
      </c>
    </row>
    <row r="323" spans="1:18" x14ac:dyDescent="0.3">
      <c r="A323" t="s">
        <v>376</v>
      </c>
      <c r="B323" t="str">
        <f>VLOOKUP(A323,[1]!Tabela1[[PLACA]:[STATUS]],2,0)</f>
        <v>OK</v>
      </c>
      <c r="C323" s="2">
        <v>46240</v>
      </c>
      <c r="D323">
        <f t="shared" ca="1" si="5"/>
        <v>-74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184</v>
      </c>
      <c r="K323" t="s">
        <v>464</v>
      </c>
      <c r="L323" t="s">
        <v>11</v>
      </c>
      <c r="M323" t="s">
        <v>12</v>
      </c>
      <c r="N323" t="s">
        <v>119</v>
      </c>
      <c r="O323" t="s">
        <v>451</v>
      </c>
      <c r="Q323" s="2">
        <v>46023</v>
      </c>
      <c r="R323" s="2">
        <v>46023</v>
      </c>
    </row>
    <row r="324" spans="1:18" x14ac:dyDescent="0.3">
      <c r="A324" t="s">
        <v>377</v>
      </c>
      <c r="B324" t="str">
        <f>VLOOKUP(A324,[1]!Tabela1[[PLACA]:[STATUS]],2,0)</f>
        <v>OK</v>
      </c>
      <c r="C324" s="2">
        <v>46298</v>
      </c>
      <c r="D324">
        <f t="shared" ca="1" si="5"/>
        <v>-16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184</v>
      </c>
      <c r="K324" t="s">
        <v>464</v>
      </c>
      <c r="L324" t="s">
        <v>11</v>
      </c>
      <c r="M324" t="s">
        <v>12</v>
      </c>
      <c r="N324" t="s">
        <v>119</v>
      </c>
      <c r="O324" t="s">
        <v>451</v>
      </c>
      <c r="Q324" s="2">
        <v>46023</v>
      </c>
      <c r="R324" s="2">
        <v>46023</v>
      </c>
    </row>
    <row r="325" spans="1:18" x14ac:dyDescent="0.3">
      <c r="A325" t="s">
        <v>378</v>
      </c>
      <c r="B325" t="str">
        <f>VLOOKUP(A325,[1]!Tabela1[[PLACA]:[STATUS]],2,0)</f>
        <v>OK</v>
      </c>
      <c r="C325" s="2">
        <v>46310</v>
      </c>
      <c r="D325">
        <f t="shared" ca="1" si="5"/>
        <v>-4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184</v>
      </c>
      <c r="K325" t="s">
        <v>464</v>
      </c>
      <c r="L325" t="s">
        <v>11</v>
      </c>
      <c r="M325" t="s">
        <v>12</v>
      </c>
      <c r="N325" t="s">
        <v>119</v>
      </c>
      <c r="O325" t="s">
        <v>451</v>
      </c>
      <c r="Q325" s="2">
        <v>46023</v>
      </c>
      <c r="R325" s="2">
        <v>46023</v>
      </c>
    </row>
    <row r="326" spans="1:18" x14ac:dyDescent="0.3">
      <c r="A326" t="s">
        <v>379</v>
      </c>
      <c r="B326" t="str">
        <f>VLOOKUP(A326,[1]!Tabela1[[PLACA]:[STATUS]],2,0)</f>
        <v>OK</v>
      </c>
      <c r="C326" s="2">
        <v>46310</v>
      </c>
      <c r="D326">
        <f t="shared" ca="1" si="5"/>
        <v>-4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184</v>
      </c>
      <c r="K326" t="s">
        <v>45</v>
      </c>
      <c r="L326" t="s">
        <v>11</v>
      </c>
      <c r="M326" t="s">
        <v>12</v>
      </c>
      <c r="N326" t="s">
        <v>119</v>
      </c>
      <c r="O326" t="s">
        <v>451</v>
      </c>
      <c r="Q326" s="2">
        <v>46023</v>
      </c>
      <c r="R326" s="2">
        <v>46023</v>
      </c>
    </row>
    <row r="327" spans="1:18" x14ac:dyDescent="0.3">
      <c r="A327" t="s">
        <v>380</v>
      </c>
      <c r="B327" t="str">
        <f>VLOOKUP(A327,[1]!Tabela1[[PLACA]:[STATUS]],2,0)</f>
        <v>OK</v>
      </c>
      <c r="C327" s="2">
        <v>46310</v>
      </c>
      <c r="D327">
        <f t="shared" ca="1" si="5"/>
        <v>-4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184</v>
      </c>
      <c r="K327" t="s">
        <v>45</v>
      </c>
      <c r="L327" t="s">
        <v>11</v>
      </c>
      <c r="M327" t="s">
        <v>12</v>
      </c>
      <c r="N327" t="s">
        <v>119</v>
      </c>
      <c r="O327" t="s">
        <v>451</v>
      </c>
      <c r="Q327" s="2">
        <v>46023</v>
      </c>
      <c r="R327" s="2">
        <v>46023</v>
      </c>
    </row>
    <row r="328" spans="1:18" x14ac:dyDescent="0.3">
      <c r="A328" t="s">
        <v>381</v>
      </c>
      <c r="B328" t="str">
        <f>VLOOKUP(A328,[1]!Tabela1[[PLACA]:[STATUS]],2,0)</f>
        <v>OK</v>
      </c>
      <c r="C328" s="2">
        <v>46309</v>
      </c>
      <c r="D328">
        <f t="shared" ca="1" si="5"/>
        <v>-5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184</v>
      </c>
      <c r="K328" t="s">
        <v>45</v>
      </c>
      <c r="L328" t="s">
        <v>11</v>
      </c>
      <c r="M328" t="s">
        <v>12</v>
      </c>
      <c r="N328" t="s">
        <v>119</v>
      </c>
      <c r="O328" t="s">
        <v>451</v>
      </c>
      <c r="Q328" s="2">
        <v>46023</v>
      </c>
      <c r="R328" s="2">
        <v>46023</v>
      </c>
    </row>
    <row r="329" spans="1:18" x14ac:dyDescent="0.3">
      <c r="A329" t="s">
        <v>382</v>
      </c>
      <c r="B329" t="str">
        <f>VLOOKUP(A329,[1]!Tabela1[[PLACA]:[STATUS]],2,0)</f>
        <v>OK</v>
      </c>
      <c r="C329" s="2">
        <v>46310</v>
      </c>
      <c r="D329">
        <f t="shared" ca="1" si="5"/>
        <v>-4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184</v>
      </c>
      <c r="K329" t="s">
        <v>10</v>
      </c>
      <c r="L329" t="s">
        <v>11</v>
      </c>
      <c r="M329" t="s">
        <v>12</v>
      </c>
      <c r="N329" t="s">
        <v>178</v>
      </c>
      <c r="O329" t="s">
        <v>448</v>
      </c>
      <c r="Q329" s="2">
        <v>46023</v>
      </c>
      <c r="R329" s="2">
        <v>46023</v>
      </c>
    </row>
    <row r="330" spans="1:18" x14ac:dyDescent="0.3">
      <c r="A330" t="s">
        <v>383</v>
      </c>
      <c r="B330" t="str">
        <f>VLOOKUP(A330,[1]!Tabela1[[PLACA]:[STATUS]],2,0)</f>
        <v>OK</v>
      </c>
      <c r="C330" s="2">
        <v>46310</v>
      </c>
      <c r="D330">
        <f t="shared" ca="1" si="5"/>
        <v>-4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184</v>
      </c>
      <c r="K330" t="s">
        <v>10</v>
      </c>
      <c r="L330" t="s">
        <v>11</v>
      </c>
      <c r="M330" t="s">
        <v>12</v>
      </c>
      <c r="N330" t="s">
        <v>178</v>
      </c>
      <c r="O330" t="s">
        <v>448</v>
      </c>
      <c r="Q330" s="2">
        <v>46023</v>
      </c>
      <c r="R330" s="2">
        <v>46023</v>
      </c>
    </row>
    <row r="331" spans="1:18" x14ac:dyDescent="0.3">
      <c r="A331" t="s">
        <v>384</v>
      </c>
      <c r="B331" t="str">
        <f>VLOOKUP(A331,[1]!Tabela1[[PLACA]:[STATUS]],2,0)</f>
        <v>OK</v>
      </c>
      <c r="C331" s="2">
        <v>46310</v>
      </c>
      <c r="D331">
        <f t="shared" ca="1" si="5"/>
        <v>-4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184</v>
      </c>
      <c r="K331" t="s">
        <v>10</v>
      </c>
      <c r="L331" t="s">
        <v>11</v>
      </c>
      <c r="M331" t="s">
        <v>23</v>
      </c>
      <c r="N331" t="s">
        <v>119</v>
      </c>
      <c r="O331" t="s">
        <v>120</v>
      </c>
      <c r="Q331" s="2">
        <v>46023</v>
      </c>
      <c r="R331" s="2">
        <v>46023</v>
      </c>
    </row>
    <row r="332" spans="1:18" x14ac:dyDescent="0.3">
      <c r="A332" t="s">
        <v>385</v>
      </c>
      <c r="B332" t="str">
        <f>VLOOKUP(A332,[1]!Tabela1[[PLACA]:[STATUS]],2,0)</f>
        <v>OK</v>
      </c>
      <c r="C332" s="2">
        <v>46310</v>
      </c>
      <c r="D332">
        <f t="shared" ca="1" si="5"/>
        <v>-4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184</v>
      </c>
      <c r="K332" t="s">
        <v>10</v>
      </c>
      <c r="L332" t="s">
        <v>11</v>
      </c>
      <c r="M332" t="s">
        <v>23</v>
      </c>
      <c r="N332" t="s">
        <v>119</v>
      </c>
      <c r="O332" t="s">
        <v>120</v>
      </c>
      <c r="Q332" s="2">
        <v>46023</v>
      </c>
      <c r="R332" s="2">
        <v>46023</v>
      </c>
    </row>
    <row r="333" spans="1:18" x14ac:dyDescent="0.3">
      <c r="A333" t="s">
        <v>386</v>
      </c>
      <c r="B333" t="str">
        <f>VLOOKUP(A333,[1]!Tabela1[[PLACA]:[STATUS]],2,0)</f>
        <v>OK</v>
      </c>
      <c r="C333" s="2">
        <v>46310</v>
      </c>
      <c r="D333">
        <f t="shared" ca="1" si="5"/>
        <v>-4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184</v>
      </c>
      <c r="K333" t="s">
        <v>10</v>
      </c>
      <c r="L333" t="s">
        <v>11</v>
      </c>
      <c r="M333" t="s">
        <v>23</v>
      </c>
      <c r="N333" t="s">
        <v>119</v>
      </c>
      <c r="O333" t="s">
        <v>120</v>
      </c>
      <c r="Q333" s="2">
        <v>46023</v>
      </c>
      <c r="R333" s="2">
        <v>46023</v>
      </c>
    </row>
    <row r="334" spans="1:18" x14ac:dyDescent="0.3">
      <c r="A334" t="s">
        <v>387</v>
      </c>
      <c r="B334" t="str">
        <f>VLOOKUP(A334,[1]!Tabela1[[PLACA]:[STATUS]],2,0)</f>
        <v>OK</v>
      </c>
      <c r="C334" s="2">
        <v>46310</v>
      </c>
      <c r="D334">
        <f t="shared" ca="1" si="5"/>
        <v>-4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184</v>
      </c>
      <c r="K334" t="s">
        <v>10</v>
      </c>
      <c r="L334" t="s">
        <v>11</v>
      </c>
      <c r="M334" t="s">
        <v>23</v>
      </c>
      <c r="N334" t="s">
        <v>119</v>
      </c>
      <c r="O334" t="s">
        <v>120</v>
      </c>
      <c r="Q334" s="2">
        <v>46023</v>
      </c>
      <c r="R334" s="2">
        <v>46023</v>
      </c>
    </row>
    <row r="335" spans="1:18" x14ac:dyDescent="0.3">
      <c r="A335" t="s">
        <v>388</v>
      </c>
      <c r="B335" t="str">
        <f>VLOOKUP(A335,[1]!Tabela1[[PLACA]:[STATUS]],2,0)</f>
        <v>OK</v>
      </c>
      <c r="C335" s="2">
        <v>46309</v>
      </c>
      <c r="D335">
        <f t="shared" ca="1" si="5"/>
        <v>-5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184</v>
      </c>
      <c r="K335" t="s">
        <v>10</v>
      </c>
      <c r="L335" t="s">
        <v>11</v>
      </c>
      <c r="M335" t="s">
        <v>23</v>
      </c>
      <c r="N335" t="s">
        <v>119</v>
      </c>
      <c r="O335" t="s">
        <v>120</v>
      </c>
      <c r="Q335" s="2">
        <v>46023</v>
      </c>
      <c r="R335" s="2">
        <v>46023</v>
      </c>
    </row>
    <row r="336" spans="1:18" x14ac:dyDescent="0.3">
      <c r="A336" t="s">
        <v>389</v>
      </c>
      <c r="B336" t="str">
        <f>VLOOKUP(A336,[1]!Tabela1[[PLACA]:[STATUS]],2,0)</f>
        <v>OK</v>
      </c>
      <c r="C336" s="2">
        <v>46309</v>
      </c>
      <c r="D336">
        <f t="shared" ca="1" si="5"/>
        <v>-5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184</v>
      </c>
      <c r="K336" t="s">
        <v>10</v>
      </c>
      <c r="L336" t="s">
        <v>11</v>
      </c>
      <c r="M336" t="s">
        <v>23</v>
      </c>
      <c r="N336" t="s">
        <v>119</v>
      </c>
      <c r="O336" t="s">
        <v>120</v>
      </c>
      <c r="Q336" s="2">
        <v>46023</v>
      </c>
      <c r="R336" s="2">
        <v>46023</v>
      </c>
    </row>
    <row r="337" spans="1:18" x14ac:dyDescent="0.3">
      <c r="A337" t="s">
        <v>390</v>
      </c>
      <c r="B337" t="str">
        <f>VLOOKUP(A337,[1]!Tabela1[[PLACA]:[STATUS]],2,0)</f>
        <v>OK</v>
      </c>
      <c r="C337" s="2">
        <v>46310</v>
      </c>
      <c r="D337">
        <f t="shared" ca="1" si="5"/>
        <v>-4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184</v>
      </c>
      <c r="K337" t="s">
        <v>10</v>
      </c>
      <c r="L337" t="s">
        <v>11</v>
      </c>
      <c r="M337" t="s">
        <v>23</v>
      </c>
      <c r="N337" t="s">
        <v>119</v>
      </c>
      <c r="O337" t="s">
        <v>120</v>
      </c>
      <c r="Q337" s="2">
        <v>46023</v>
      </c>
      <c r="R337" s="2">
        <v>46023</v>
      </c>
    </row>
    <row r="338" spans="1:18" x14ac:dyDescent="0.3">
      <c r="A338" t="s">
        <v>391</v>
      </c>
      <c r="B338" t="str">
        <f>VLOOKUP(A338,[1]!Tabela1[[PLACA]:[STATUS]],2,0)</f>
        <v>OK</v>
      </c>
      <c r="C338" s="2">
        <v>46310</v>
      </c>
      <c r="D338">
        <f t="shared" ca="1" si="5"/>
        <v>-4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184</v>
      </c>
      <c r="K338" t="s">
        <v>10</v>
      </c>
      <c r="L338" t="s">
        <v>11</v>
      </c>
      <c r="M338" t="s">
        <v>23</v>
      </c>
      <c r="N338" t="s">
        <v>119</v>
      </c>
      <c r="O338" t="s">
        <v>120</v>
      </c>
      <c r="Q338" s="2">
        <v>46023</v>
      </c>
      <c r="R338" s="2">
        <v>46023</v>
      </c>
    </row>
    <row r="339" spans="1:18" x14ac:dyDescent="0.3">
      <c r="A339" t="s">
        <v>392</v>
      </c>
      <c r="B339" t="str">
        <f>VLOOKUP(A339,[1]!Tabela1[[PLACA]:[STATUS]],2,0)</f>
        <v>OK</v>
      </c>
      <c r="C339" s="2">
        <v>46307</v>
      </c>
      <c r="D339">
        <f t="shared" ca="1" si="5"/>
        <v>-7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184</v>
      </c>
      <c r="K339" t="s">
        <v>10</v>
      </c>
      <c r="L339" t="s">
        <v>11</v>
      </c>
      <c r="M339" t="s">
        <v>23</v>
      </c>
      <c r="N339" t="s">
        <v>119</v>
      </c>
      <c r="O339" t="s">
        <v>120</v>
      </c>
      <c r="Q339" s="2">
        <v>46023</v>
      </c>
      <c r="R339" s="2">
        <v>46023</v>
      </c>
    </row>
    <row r="340" spans="1:18" x14ac:dyDescent="0.3">
      <c r="A340" t="s">
        <v>393</v>
      </c>
      <c r="B340" t="str">
        <f>VLOOKUP(A340,[1]!Tabela1[[PLACA]:[STATUS]],2,0)</f>
        <v>OK</v>
      </c>
      <c r="C340" s="2">
        <v>46310</v>
      </c>
      <c r="D340">
        <f t="shared" ca="1" si="5"/>
        <v>-4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184</v>
      </c>
      <c r="K340" t="s">
        <v>10</v>
      </c>
      <c r="L340" t="s">
        <v>11</v>
      </c>
      <c r="M340" t="s">
        <v>23</v>
      </c>
      <c r="N340" t="s">
        <v>119</v>
      </c>
      <c r="O340" t="s">
        <v>120</v>
      </c>
      <c r="Q340" s="2">
        <v>46023</v>
      </c>
      <c r="R340" s="2">
        <v>46023</v>
      </c>
    </row>
    <row r="341" spans="1:18" x14ac:dyDescent="0.3">
      <c r="A341" t="s">
        <v>394</v>
      </c>
      <c r="B341" t="str">
        <f>VLOOKUP(A341,[1]!Tabela1[[PLACA]:[STATUS]],2,0)</f>
        <v>OK</v>
      </c>
      <c r="C341" s="2">
        <v>46307</v>
      </c>
      <c r="D341">
        <f t="shared" ca="1" si="5"/>
        <v>-7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184</v>
      </c>
      <c r="K341" t="s">
        <v>10</v>
      </c>
      <c r="L341" t="s">
        <v>11</v>
      </c>
      <c r="M341" t="s">
        <v>23</v>
      </c>
      <c r="N341" t="s">
        <v>119</v>
      </c>
      <c r="O341" t="s">
        <v>120</v>
      </c>
      <c r="Q341" s="2">
        <v>46023</v>
      </c>
      <c r="R341" s="2">
        <v>46023</v>
      </c>
    </row>
    <row r="342" spans="1:18" x14ac:dyDescent="0.3">
      <c r="A342" t="s">
        <v>395</v>
      </c>
      <c r="B342" t="str">
        <f>VLOOKUP(A342,[1]!Tabela1[[PLACA]:[STATUS]],2,0)</f>
        <v>OK</v>
      </c>
      <c r="C342" s="2">
        <v>46310</v>
      </c>
      <c r="D342">
        <f t="shared" ca="1" si="5"/>
        <v>-4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184</v>
      </c>
      <c r="K342" t="s">
        <v>463</v>
      </c>
      <c r="L342" t="s">
        <v>11</v>
      </c>
      <c r="M342" t="s">
        <v>12</v>
      </c>
      <c r="N342" t="s">
        <v>119</v>
      </c>
      <c r="O342" t="s">
        <v>451</v>
      </c>
      <c r="Q342" s="2">
        <v>46023</v>
      </c>
      <c r="R342" s="2">
        <v>46023</v>
      </c>
    </row>
    <row r="343" spans="1:18" x14ac:dyDescent="0.3">
      <c r="A343" t="s">
        <v>396</v>
      </c>
      <c r="B343" t="str">
        <f>VLOOKUP(A343,[1]!Tabela1[[PLACA]:[STATUS]],2,0)</f>
        <v>OK</v>
      </c>
      <c r="C343" s="2">
        <v>46308</v>
      </c>
      <c r="D343">
        <f t="shared" ca="1" si="5"/>
        <v>-6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184</v>
      </c>
      <c r="K343" t="s">
        <v>464</v>
      </c>
      <c r="L343" t="s">
        <v>11</v>
      </c>
      <c r="M343" t="s">
        <v>12</v>
      </c>
      <c r="N343" t="s">
        <v>119</v>
      </c>
      <c r="O343" t="s">
        <v>451</v>
      </c>
      <c r="Q343" s="2">
        <v>46023</v>
      </c>
      <c r="R343" s="2">
        <v>46023</v>
      </c>
    </row>
    <row r="344" spans="1:18" x14ac:dyDescent="0.3">
      <c r="A344" t="s">
        <v>397</v>
      </c>
      <c r="B344" t="str">
        <f>VLOOKUP(A344,[1]!Tabela1[[PLACA]:[STATUS]],2,0)</f>
        <v>OK</v>
      </c>
      <c r="C344" s="2">
        <v>46310</v>
      </c>
      <c r="D344">
        <f t="shared" ca="1" si="5"/>
        <v>-4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184</v>
      </c>
      <c r="K344" t="s">
        <v>463</v>
      </c>
      <c r="L344" t="s">
        <v>11</v>
      </c>
      <c r="M344" t="s">
        <v>12</v>
      </c>
      <c r="N344" t="s">
        <v>119</v>
      </c>
      <c r="O344" t="s">
        <v>451</v>
      </c>
      <c r="Q344" s="2">
        <v>46023</v>
      </c>
      <c r="R344" s="2">
        <v>46023</v>
      </c>
    </row>
    <row r="345" spans="1:18" x14ac:dyDescent="0.3">
      <c r="A345" t="s">
        <v>398</v>
      </c>
      <c r="B345" t="str">
        <f>VLOOKUP(A345,[1]!Tabela1[[PLACA]:[STATUS]],2,0)</f>
        <v>OK</v>
      </c>
      <c r="C345" s="2">
        <v>46310</v>
      </c>
      <c r="D345">
        <f t="shared" ca="1" si="5"/>
        <v>-4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184</v>
      </c>
      <c r="K345" t="s">
        <v>463</v>
      </c>
      <c r="L345" t="s">
        <v>11</v>
      </c>
      <c r="M345" t="s">
        <v>12</v>
      </c>
      <c r="N345" t="s">
        <v>119</v>
      </c>
      <c r="O345" t="s">
        <v>451</v>
      </c>
      <c r="Q345" s="2">
        <v>46023</v>
      </c>
      <c r="R345" s="2">
        <v>46023</v>
      </c>
    </row>
    <row r="346" spans="1:18" x14ac:dyDescent="0.3">
      <c r="A346" t="s">
        <v>399</v>
      </c>
      <c r="B346" t="str">
        <f>VLOOKUP(A346,[1]!Tabela1[[PLACA]:[STATUS]],2,0)</f>
        <v>OK</v>
      </c>
      <c r="C346" s="2">
        <v>46309</v>
      </c>
      <c r="D346">
        <f t="shared" ca="1" si="5"/>
        <v>-5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184</v>
      </c>
      <c r="K346" t="s">
        <v>464</v>
      </c>
      <c r="L346" t="s">
        <v>11</v>
      </c>
      <c r="M346" t="s">
        <v>12</v>
      </c>
      <c r="N346" t="s">
        <v>119</v>
      </c>
      <c r="O346" t="s">
        <v>451</v>
      </c>
      <c r="Q346" s="2">
        <v>46023</v>
      </c>
      <c r="R346" s="2">
        <v>46023</v>
      </c>
    </row>
    <row r="347" spans="1:18" x14ac:dyDescent="0.3">
      <c r="A347" t="s">
        <v>400</v>
      </c>
      <c r="B347" t="str">
        <f>VLOOKUP(A347,[1]!Tabela1[[PLACA]:[STATUS]],2,0)</f>
        <v>OK</v>
      </c>
      <c r="C347" s="2">
        <v>46310</v>
      </c>
      <c r="D347">
        <f t="shared" ca="1" si="5"/>
        <v>-4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184</v>
      </c>
      <c r="K347" t="s">
        <v>464</v>
      </c>
      <c r="L347" t="s">
        <v>11</v>
      </c>
      <c r="M347" t="s">
        <v>12</v>
      </c>
      <c r="N347" t="s">
        <v>119</v>
      </c>
      <c r="O347" t="s">
        <v>451</v>
      </c>
      <c r="Q347" s="2">
        <v>46023</v>
      </c>
      <c r="R347" s="2">
        <v>46023</v>
      </c>
    </row>
    <row r="348" spans="1:18" x14ac:dyDescent="0.3">
      <c r="A348" t="s">
        <v>401</v>
      </c>
      <c r="B348" t="str">
        <f>VLOOKUP(A348,[1]!Tabela1[[PLACA]:[STATUS]],2,0)</f>
        <v>OK</v>
      </c>
      <c r="C348" s="2">
        <v>46310</v>
      </c>
      <c r="D348">
        <f t="shared" ca="1" si="5"/>
        <v>-4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184</v>
      </c>
      <c r="K348" t="s">
        <v>463</v>
      </c>
      <c r="L348" t="s">
        <v>11</v>
      </c>
      <c r="M348" t="s">
        <v>12</v>
      </c>
      <c r="N348" t="s">
        <v>119</v>
      </c>
      <c r="O348" t="s">
        <v>451</v>
      </c>
      <c r="Q348" s="2">
        <v>46023</v>
      </c>
      <c r="R348" s="2">
        <v>46023</v>
      </c>
    </row>
    <row r="349" spans="1:18" x14ac:dyDescent="0.3">
      <c r="A349" t="s">
        <v>402</v>
      </c>
      <c r="B349" t="str">
        <f>VLOOKUP(A349,[1]!Tabela1[[PLACA]:[STATUS]],2,0)</f>
        <v>OK</v>
      </c>
      <c r="C349" s="2">
        <v>46310</v>
      </c>
      <c r="D349">
        <f t="shared" ca="1" si="5"/>
        <v>-4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184</v>
      </c>
      <c r="K349" t="s">
        <v>22</v>
      </c>
      <c r="L349" t="s">
        <v>11</v>
      </c>
      <c r="M349" t="s">
        <v>23</v>
      </c>
      <c r="N349" t="s">
        <v>24</v>
      </c>
      <c r="O349" t="s">
        <v>120</v>
      </c>
      <c r="Q349" s="2">
        <v>46023</v>
      </c>
      <c r="R349" s="2">
        <v>46023</v>
      </c>
    </row>
    <row r="350" spans="1:18" x14ac:dyDescent="0.3">
      <c r="A350" t="s">
        <v>403</v>
      </c>
      <c r="B350" t="str">
        <f>VLOOKUP(A350,[1]!Tabela1[[PLACA]:[STATUS]],2,0)</f>
        <v>OK</v>
      </c>
      <c r="C350" s="2">
        <v>46310</v>
      </c>
      <c r="D350">
        <f t="shared" ca="1" si="5"/>
        <v>-4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184</v>
      </c>
      <c r="K350" t="s">
        <v>462</v>
      </c>
      <c r="L350" t="s">
        <v>11</v>
      </c>
      <c r="M350" t="s">
        <v>12</v>
      </c>
      <c r="N350" t="s">
        <v>119</v>
      </c>
      <c r="O350" t="s">
        <v>451</v>
      </c>
      <c r="Q350" s="2">
        <v>46023</v>
      </c>
      <c r="R350" s="2">
        <v>46023</v>
      </c>
    </row>
    <row r="351" spans="1:18" x14ac:dyDescent="0.3">
      <c r="A351" t="s">
        <v>404</v>
      </c>
      <c r="B351" t="str">
        <f>VLOOKUP(A351,[1]!Tabela1[[PLACA]:[STATUS]],2,0)</f>
        <v>OK</v>
      </c>
      <c r="C351" s="2">
        <v>46310</v>
      </c>
      <c r="D351">
        <f t="shared" ca="1" si="5"/>
        <v>-4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184</v>
      </c>
      <c r="K351" t="s">
        <v>462</v>
      </c>
      <c r="L351" t="s">
        <v>11</v>
      </c>
      <c r="M351" t="s">
        <v>12</v>
      </c>
      <c r="N351" t="s">
        <v>119</v>
      </c>
      <c r="O351" t="s">
        <v>451</v>
      </c>
      <c r="Q351" s="2">
        <v>46023</v>
      </c>
      <c r="R351" s="2">
        <v>46023</v>
      </c>
    </row>
    <row r="352" spans="1:18" x14ac:dyDescent="0.3">
      <c r="A352" t="s">
        <v>405</v>
      </c>
      <c r="B352" t="str">
        <f>VLOOKUP(A352,[1]!Tabela1[[PLACA]:[STATUS]],2,0)</f>
        <v>OK</v>
      </c>
      <c r="C352" s="2">
        <v>46310</v>
      </c>
      <c r="D352">
        <f t="shared" ca="1" si="5"/>
        <v>-4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184</v>
      </c>
      <c r="K352" t="s">
        <v>462</v>
      </c>
      <c r="L352" t="s">
        <v>11</v>
      </c>
      <c r="M352" t="s">
        <v>12</v>
      </c>
      <c r="N352" t="s">
        <v>119</v>
      </c>
      <c r="O352" t="s">
        <v>451</v>
      </c>
      <c r="Q352" s="2">
        <v>46023</v>
      </c>
      <c r="R352" s="2">
        <v>46023</v>
      </c>
    </row>
    <row r="353" spans="1:18" x14ac:dyDescent="0.3">
      <c r="A353" t="s">
        <v>406</v>
      </c>
      <c r="B353" t="str">
        <f>VLOOKUP(A353,[1]!Tabela1[[PLACA]:[STATUS]],2,0)</f>
        <v>OK</v>
      </c>
      <c r="C353" s="2">
        <v>46310</v>
      </c>
      <c r="D353">
        <f t="shared" ca="1" si="5"/>
        <v>-4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184</v>
      </c>
      <c r="K353" t="s">
        <v>101</v>
      </c>
      <c r="L353" t="s">
        <v>11</v>
      </c>
      <c r="M353" t="s">
        <v>29</v>
      </c>
      <c r="N353" t="s">
        <v>119</v>
      </c>
      <c r="O353" t="s">
        <v>449</v>
      </c>
      <c r="Q353" s="2">
        <v>46023</v>
      </c>
      <c r="R353" s="2">
        <v>46023</v>
      </c>
    </row>
    <row r="354" spans="1:18" x14ac:dyDescent="0.3">
      <c r="A354" t="s">
        <v>407</v>
      </c>
      <c r="B354" t="str">
        <f>VLOOKUP(A354,[1]!Tabela1[[PLACA]:[STATUS]],2,0)</f>
        <v>OK</v>
      </c>
      <c r="C354" s="2">
        <v>46310</v>
      </c>
      <c r="D354">
        <f t="shared" ca="1" si="5"/>
        <v>-4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184</v>
      </c>
      <c r="K354" t="s">
        <v>28</v>
      </c>
      <c r="L354" t="s">
        <v>11</v>
      </c>
      <c r="M354" t="s">
        <v>29</v>
      </c>
      <c r="N354" t="s">
        <v>119</v>
      </c>
      <c r="O354" t="s">
        <v>449</v>
      </c>
      <c r="Q354" s="2">
        <v>46023</v>
      </c>
      <c r="R354" s="2">
        <v>46023</v>
      </c>
    </row>
    <row r="355" spans="1:18" x14ac:dyDescent="0.3">
      <c r="A355" t="s">
        <v>408</v>
      </c>
      <c r="B355" t="str">
        <f>VLOOKUP(A355,[1]!Tabela1[[PLACA]:[STATUS]],2,0)</f>
        <v>OK</v>
      </c>
      <c r="C355" s="2">
        <v>46307</v>
      </c>
      <c r="D355">
        <f t="shared" ca="1" si="5"/>
        <v>-7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184</v>
      </c>
      <c r="K355" t="s">
        <v>28</v>
      </c>
      <c r="L355" t="s">
        <v>11</v>
      </c>
      <c r="M355" t="s">
        <v>29</v>
      </c>
      <c r="N355" t="s">
        <v>119</v>
      </c>
      <c r="O355" t="s">
        <v>449</v>
      </c>
      <c r="Q355" s="2">
        <v>46023</v>
      </c>
      <c r="R355" s="2">
        <v>46023</v>
      </c>
    </row>
    <row r="356" spans="1:18" x14ac:dyDescent="0.3">
      <c r="A356" t="s">
        <v>409</v>
      </c>
      <c r="B356" t="str">
        <f>VLOOKUP(A356,[1]!Tabela1[[PLACA]:[STATUS]],2,0)</f>
        <v>OK</v>
      </c>
      <c r="C356" s="2">
        <v>46310</v>
      </c>
      <c r="D356">
        <f t="shared" ca="1" si="5"/>
        <v>-4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184</v>
      </c>
      <c r="K356" t="s">
        <v>101</v>
      </c>
      <c r="L356" t="s">
        <v>11</v>
      </c>
      <c r="M356" t="s">
        <v>23</v>
      </c>
      <c r="N356" t="s">
        <v>119</v>
      </c>
      <c r="O356" t="s">
        <v>120</v>
      </c>
      <c r="Q356" s="2">
        <v>46023</v>
      </c>
      <c r="R356" s="2">
        <v>46023</v>
      </c>
    </row>
    <row r="357" spans="1:18" x14ac:dyDescent="0.3">
      <c r="A357" t="s">
        <v>410</v>
      </c>
      <c r="B357" t="str">
        <f>VLOOKUP(A357,[1]!Tabela1[[PLACA]:[STATUS]],2,0)</f>
        <v>OK</v>
      </c>
      <c r="C357" s="2">
        <v>46298</v>
      </c>
      <c r="D357">
        <f t="shared" ca="1" si="5"/>
        <v>-16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184</v>
      </c>
      <c r="K357" t="s">
        <v>101</v>
      </c>
      <c r="L357" t="s">
        <v>11</v>
      </c>
      <c r="M357" t="s">
        <v>23</v>
      </c>
      <c r="N357" t="s">
        <v>119</v>
      </c>
      <c r="O357" t="s">
        <v>120</v>
      </c>
      <c r="Q357" s="2">
        <v>46023</v>
      </c>
      <c r="R357" s="2">
        <v>46023</v>
      </c>
    </row>
    <row r="358" spans="1:18" x14ac:dyDescent="0.3">
      <c r="A358" t="s">
        <v>411</v>
      </c>
      <c r="B358" t="str">
        <f>VLOOKUP(A358,[1]!Tabela1[[PLACA]:[STATUS]],2,0)</f>
        <v>OK</v>
      </c>
      <c r="C358" s="2">
        <v>46304</v>
      </c>
      <c r="D358">
        <f t="shared" ca="1" si="5"/>
        <v>-10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184</v>
      </c>
      <c r="K358" t="s">
        <v>28</v>
      </c>
      <c r="L358" t="s">
        <v>11</v>
      </c>
      <c r="M358" t="s">
        <v>23</v>
      </c>
      <c r="N358" t="s">
        <v>119</v>
      </c>
      <c r="O358" t="s">
        <v>120</v>
      </c>
      <c r="Q358" s="2">
        <v>46023</v>
      </c>
      <c r="R358" s="2">
        <v>46023</v>
      </c>
    </row>
    <row r="359" spans="1:18" x14ac:dyDescent="0.3">
      <c r="A359" t="s">
        <v>412</v>
      </c>
      <c r="B359" t="str">
        <f>VLOOKUP(A359,[1]!Tabela1[[PLACA]:[STATUS]],2,0)</f>
        <v>OK</v>
      </c>
      <c r="C359" s="2">
        <v>46310</v>
      </c>
      <c r="D359">
        <f t="shared" ca="1" si="5"/>
        <v>-4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184</v>
      </c>
      <c r="K359" t="s">
        <v>28</v>
      </c>
      <c r="L359" t="s">
        <v>11</v>
      </c>
      <c r="M359" t="s">
        <v>23</v>
      </c>
      <c r="N359" t="s">
        <v>119</v>
      </c>
      <c r="O359" t="s">
        <v>120</v>
      </c>
      <c r="Q359" s="2">
        <v>46023</v>
      </c>
      <c r="R359" s="2">
        <v>46023</v>
      </c>
    </row>
    <row r="360" spans="1:18" x14ac:dyDescent="0.3">
      <c r="A360" t="s">
        <v>413</v>
      </c>
      <c r="B360" t="str">
        <f>VLOOKUP(A360,[1]!Tabela1[[PLACA]:[STATUS]],2,0)</f>
        <v>OK</v>
      </c>
      <c r="C360" s="2">
        <v>46310</v>
      </c>
      <c r="D360">
        <f t="shared" ca="1" si="5"/>
        <v>-4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184</v>
      </c>
      <c r="K360" t="s">
        <v>101</v>
      </c>
      <c r="L360" t="s">
        <v>11</v>
      </c>
      <c r="M360" t="s">
        <v>23</v>
      </c>
      <c r="N360" t="s">
        <v>119</v>
      </c>
      <c r="O360" t="s">
        <v>120</v>
      </c>
      <c r="Q360" s="2">
        <v>46023</v>
      </c>
      <c r="R360" s="2">
        <v>46023</v>
      </c>
    </row>
    <row r="361" spans="1:18" x14ac:dyDescent="0.3">
      <c r="A361" t="s">
        <v>414</v>
      </c>
      <c r="B361" t="str">
        <f>VLOOKUP(A361,[1]!Tabela1[[PLACA]:[STATUS]],2,0)</f>
        <v>OK</v>
      </c>
      <c r="C361" s="2">
        <v>46310</v>
      </c>
      <c r="D361">
        <f t="shared" ca="1" si="5"/>
        <v>-4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184</v>
      </c>
      <c r="K361" t="s">
        <v>101</v>
      </c>
      <c r="L361" t="s">
        <v>11</v>
      </c>
      <c r="M361" t="s">
        <v>23</v>
      </c>
      <c r="N361" t="s">
        <v>119</v>
      </c>
      <c r="O361" t="s">
        <v>120</v>
      </c>
      <c r="Q361" s="2">
        <v>46023</v>
      </c>
      <c r="R361" s="2">
        <v>46023</v>
      </c>
    </row>
    <row r="362" spans="1:18" x14ac:dyDescent="0.3">
      <c r="A362" t="s">
        <v>415</v>
      </c>
      <c r="B362" t="str">
        <f>VLOOKUP(A362,[1]!Tabela1[[PLACA]:[STATUS]],2,0)</f>
        <v>OK</v>
      </c>
      <c r="C362" s="2">
        <v>46307</v>
      </c>
      <c r="D362">
        <f t="shared" ca="1" si="5"/>
        <v>-7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184</v>
      </c>
      <c r="K362" t="s">
        <v>28</v>
      </c>
      <c r="L362" t="s">
        <v>11</v>
      </c>
      <c r="M362" t="s">
        <v>23</v>
      </c>
      <c r="N362" t="s">
        <v>119</v>
      </c>
      <c r="O362" t="s">
        <v>120</v>
      </c>
      <c r="Q362" s="2">
        <v>46023</v>
      </c>
      <c r="R362" s="2">
        <v>46023</v>
      </c>
    </row>
    <row r="363" spans="1:18" x14ac:dyDescent="0.3">
      <c r="A363" t="s">
        <v>416</v>
      </c>
      <c r="B363" t="str">
        <f>VLOOKUP(A363,[1]!Tabela1[[PLACA]:[STATUS]],2,0)</f>
        <v>OK</v>
      </c>
      <c r="C363" s="2">
        <v>46310</v>
      </c>
      <c r="D363">
        <f t="shared" ca="1" si="5"/>
        <v>-4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184</v>
      </c>
      <c r="K363" t="s">
        <v>101</v>
      </c>
      <c r="L363" t="s">
        <v>11</v>
      </c>
      <c r="M363" t="s">
        <v>23</v>
      </c>
      <c r="N363" t="s">
        <v>119</v>
      </c>
      <c r="O363" t="s">
        <v>120</v>
      </c>
      <c r="Q363" s="2">
        <v>46023</v>
      </c>
      <c r="R363" s="2">
        <v>46023</v>
      </c>
    </row>
    <row r="364" spans="1:18" x14ac:dyDescent="0.3">
      <c r="A364" t="s">
        <v>417</v>
      </c>
      <c r="B364" t="str">
        <f>VLOOKUP(A364,[1]!Tabela1[[PLACA]:[STATUS]],2,0)</f>
        <v>OK</v>
      </c>
      <c r="C364" s="2">
        <v>46292</v>
      </c>
      <c r="D364">
        <f t="shared" ca="1" si="5"/>
        <v>-22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184</v>
      </c>
      <c r="K364" t="s">
        <v>22</v>
      </c>
      <c r="L364" t="s">
        <v>11</v>
      </c>
      <c r="M364" t="s">
        <v>23</v>
      </c>
      <c r="N364" t="s">
        <v>119</v>
      </c>
      <c r="O364" t="s">
        <v>120</v>
      </c>
      <c r="Q364" s="2">
        <v>46023</v>
      </c>
      <c r="R364" s="2">
        <v>46023</v>
      </c>
    </row>
    <row r="365" spans="1:18" x14ac:dyDescent="0.3">
      <c r="A365" t="s">
        <v>418</v>
      </c>
      <c r="B365" t="str">
        <f>VLOOKUP(A365,[1]!Tabela1[[PLACA]:[STATUS]],2,0)</f>
        <v>OK</v>
      </c>
      <c r="C365" s="2">
        <v>46310</v>
      </c>
      <c r="D365">
        <f t="shared" ca="1" si="5"/>
        <v>-4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184</v>
      </c>
      <c r="K365" t="s">
        <v>22</v>
      </c>
      <c r="L365" t="s">
        <v>11</v>
      </c>
      <c r="M365" t="s">
        <v>23</v>
      </c>
      <c r="N365" t="s">
        <v>119</v>
      </c>
      <c r="O365" t="s">
        <v>120</v>
      </c>
      <c r="Q365" s="2">
        <v>46023</v>
      </c>
      <c r="R365" s="2">
        <v>46023</v>
      </c>
    </row>
    <row r="366" spans="1:18" x14ac:dyDescent="0.3">
      <c r="A366" t="s">
        <v>419</v>
      </c>
      <c r="B366" t="str">
        <f>VLOOKUP(A366,[1]!Tabela1[[PLACA]:[STATUS]],2,0)</f>
        <v>OK</v>
      </c>
      <c r="C366" s="2">
        <v>46310</v>
      </c>
      <c r="D366">
        <f t="shared" ca="1" si="5"/>
        <v>-4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184</v>
      </c>
      <c r="K366" t="s">
        <v>22</v>
      </c>
      <c r="L366" t="s">
        <v>11</v>
      </c>
      <c r="M366" t="s">
        <v>29</v>
      </c>
      <c r="N366" t="s">
        <v>119</v>
      </c>
      <c r="O366" t="s">
        <v>449</v>
      </c>
      <c r="Q366" s="2">
        <v>46023</v>
      </c>
      <c r="R366" s="2">
        <v>46023</v>
      </c>
    </row>
    <row r="367" spans="1:18" x14ac:dyDescent="0.3">
      <c r="A367" t="s">
        <v>420</v>
      </c>
      <c r="B367" t="str">
        <f>VLOOKUP(A367,[1]!Tabela1[[PLACA]:[STATUS]],2,0)</f>
        <v>OK</v>
      </c>
      <c r="C367" s="2">
        <v>46310</v>
      </c>
      <c r="D367">
        <f t="shared" ca="1" si="5"/>
        <v>-4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184</v>
      </c>
      <c r="K367" t="s">
        <v>22</v>
      </c>
      <c r="L367" t="s">
        <v>11</v>
      </c>
      <c r="M367" t="s">
        <v>29</v>
      </c>
      <c r="N367" t="s">
        <v>119</v>
      </c>
      <c r="O367" t="s">
        <v>449</v>
      </c>
      <c r="Q367" s="2">
        <v>46023</v>
      </c>
      <c r="R367" s="2">
        <v>46023</v>
      </c>
    </row>
    <row r="368" spans="1:18" x14ac:dyDescent="0.3">
      <c r="A368" t="s">
        <v>421</v>
      </c>
      <c r="B368" t="str">
        <f>VLOOKUP(A368,[1]!Tabela1[[PLACA]:[STATUS]],2,0)</f>
        <v>OK</v>
      </c>
      <c r="C368" s="2">
        <v>46310</v>
      </c>
      <c r="D368">
        <f t="shared" ca="1" si="5"/>
        <v>-4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184</v>
      </c>
      <c r="K368" t="s">
        <v>22</v>
      </c>
      <c r="L368" t="s">
        <v>11</v>
      </c>
      <c r="M368" t="s">
        <v>29</v>
      </c>
      <c r="N368" t="s">
        <v>119</v>
      </c>
      <c r="O368" t="s">
        <v>449</v>
      </c>
      <c r="Q368" s="2">
        <v>46023</v>
      </c>
      <c r="R368" s="2">
        <v>46023</v>
      </c>
    </row>
    <row r="369" spans="1:18" x14ac:dyDescent="0.3">
      <c r="A369" t="s">
        <v>422</v>
      </c>
      <c r="B369" t="str">
        <f>VLOOKUP(A369,[1]!Tabela1[[PLACA]:[STATUS]],2,0)</f>
        <v>OK</v>
      </c>
      <c r="C369" s="2">
        <v>46310</v>
      </c>
      <c r="D369">
        <f t="shared" ca="1" si="5"/>
        <v>-4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184</v>
      </c>
      <c r="K369" t="s">
        <v>22</v>
      </c>
      <c r="L369" t="s">
        <v>11</v>
      </c>
      <c r="M369" t="s">
        <v>29</v>
      </c>
      <c r="N369" t="s">
        <v>119</v>
      </c>
      <c r="O369" t="s">
        <v>449</v>
      </c>
      <c r="Q369" s="2">
        <v>46023</v>
      </c>
      <c r="R369" s="2">
        <v>46023</v>
      </c>
    </row>
    <row r="370" spans="1:18" x14ac:dyDescent="0.3">
      <c r="A370" t="s">
        <v>423</v>
      </c>
      <c r="B370" t="str">
        <f>VLOOKUP(A370,[1]!Tabela1[[PLACA]:[STATUS]],2,0)</f>
        <v>OK</v>
      </c>
      <c r="C370" s="2">
        <v>46310</v>
      </c>
      <c r="D370">
        <f t="shared" ca="1" si="5"/>
        <v>-4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184</v>
      </c>
      <c r="K370" t="s">
        <v>22</v>
      </c>
      <c r="L370" t="s">
        <v>11</v>
      </c>
      <c r="M370" t="s">
        <v>29</v>
      </c>
      <c r="N370" t="s">
        <v>119</v>
      </c>
      <c r="O370" t="s">
        <v>449</v>
      </c>
      <c r="Q370" s="2">
        <v>46023</v>
      </c>
      <c r="R370" s="2">
        <v>46023</v>
      </c>
    </row>
    <row r="371" spans="1:18" x14ac:dyDescent="0.3">
      <c r="A371" t="s">
        <v>424</v>
      </c>
      <c r="B371" t="str">
        <f>VLOOKUP(A371,[1]!Tabela1[[PLACA]:[STATUS]],2,0)</f>
        <v>OK</v>
      </c>
      <c r="C371" s="2">
        <v>46310</v>
      </c>
      <c r="D371">
        <f t="shared" ca="1" si="5"/>
        <v>-4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184</v>
      </c>
      <c r="K371" t="s">
        <v>22</v>
      </c>
      <c r="L371" t="s">
        <v>11</v>
      </c>
      <c r="M371" t="s">
        <v>29</v>
      </c>
      <c r="N371" t="s">
        <v>119</v>
      </c>
      <c r="O371" t="s">
        <v>449</v>
      </c>
      <c r="Q371" s="2">
        <v>46023</v>
      </c>
      <c r="R371" s="2">
        <v>46023</v>
      </c>
    </row>
    <row r="372" spans="1:18" x14ac:dyDescent="0.3">
      <c r="A372" t="s">
        <v>425</v>
      </c>
      <c r="B372" t="str">
        <f>VLOOKUP(A372,[1]!Tabela1[[PLACA]:[STATUS]],2,0)</f>
        <v>OK</v>
      </c>
      <c r="C372" s="2">
        <v>46310</v>
      </c>
      <c r="D372">
        <f t="shared" ca="1" si="5"/>
        <v>-4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184</v>
      </c>
      <c r="K372" t="s">
        <v>22</v>
      </c>
      <c r="L372" t="s">
        <v>11</v>
      </c>
      <c r="M372" t="s">
        <v>23</v>
      </c>
      <c r="N372" t="s">
        <v>119</v>
      </c>
      <c r="O372" t="s">
        <v>120</v>
      </c>
      <c r="Q372" s="2">
        <v>46023</v>
      </c>
      <c r="R372" s="2">
        <v>46023</v>
      </c>
    </row>
    <row r="373" spans="1:18" x14ac:dyDescent="0.3">
      <c r="A373" t="s">
        <v>426</v>
      </c>
      <c r="B373" t="str">
        <f>VLOOKUP(A373,[1]!Tabela1[[PLACA]:[STATUS]],2,0)</f>
        <v>OK</v>
      </c>
      <c r="C373" s="2">
        <v>46310</v>
      </c>
      <c r="D373">
        <f t="shared" ca="1" si="5"/>
        <v>-4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184</v>
      </c>
      <c r="K373" t="s">
        <v>22</v>
      </c>
      <c r="L373" t="s">
        <v>11</v>
      </c>
      <c r="M373" t="s">
        <v>23</v>
      </c>
      <c r="N373" t="s">
        <v>119</v>
      </c>
      <c r="O373" t="s">
        <v>120</v>
      </c>
      <c r="Q373" s="2">
        <v>46023</v>
      </c>
      <c r="R373" s="2">
        <v>46023</v>
      </c>
    </row>
    <row r="374" spans="1:18" x14ac:dyDescent="0.3">
      <c r="A374" t="s">
        <v>427</v>
      </c>
      <c r="B374" t="str">
        <f>VLOOKUP(A374,[1]!Tabela1[[PLACA]:[STATUS]],2,0)</f>
        <v>OK</v>
      </c>
      <c r="C374" s="2">
        <v>46309</v>
      </c>
      <c r="D374">
        <f t="shared" ca="1" si="5"/>
        <v>-5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184</v>
      </c>
      <c r="K374" t="s">
        <v>22</v>
      </c>
      <c r="L374" t="s">
        <v>11</v>
      </c>
      <c r="M374" t="s">
        <v>23</v>
      </c>
      <c r="N374" t="s">
        <v>119</v>
      </c>
      <c r="O374" t="s">
        <v>120</v>
      </c>
      <c r="Q374" s="2">
        <v>46023</v>
      </c>
      <c r="R374" s="2">
        <v>46023</v>
      </c>
    </row>
    <row r="375" spans="1:18" x14ac:dyDescent="0.3">
      <c r="A375" t="s">
        <v>428</v>
      </c>
      <c r="B375" t="str">
        <f>VLOOKUP(A375,[1]!Tabela1[[PLACA]:[STATUS]],2,0)</f>
        <v>OK</v>
      </c>
      <c r="C375" s="2">
        <v>46310</v>
      </c>
      <c r="D375">
        <f t="shared" ca="1" si="5"/>
        <v>-4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184</v>
      </c>
      <c r="K375" t="s">
        <v>22</v>
      </c>
      <c r="L375" t="s">
        <v>11</v>
      </c>
      <c r="M375" t="s">
        <v>23</v>
      </c>
      <c r="N375" t="s">
        <v>119</v>
      </c>
      <c r="O375" t="s">
        <v>120</v>
      </c>
      <c r="Q375" s="2">
        <v>46023</v>
      </c>
      <c r="R375" s="2">
        <v>46023</v>
      </c>
    </row>
    <row r="376" spans="1:18" x14ac:dyDescent="0.3">
      <c r="A376" t="s">
        <v>429</v>
      </c>
      <c r="B376" t="str">
        <f>VLOOKUP(A376,[1]!Tabela1[[PLACA]:[STATUS]],2,0)</f>
        <v>OK</v>
      </c>
      <c r="C376" s="2">
        <v>46306</v>
      </c>
      <c r="D376">
        <f t="shared" ca="1" si="5"/>
        <v>-8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184</v>
      </c>
      <c r="K376" t="s">
        <v>22</v>
      </c>
      <c r="L376" t="s">
        <v>11</v>
      </c>
      <c r="M376" t="s">
        <v>23</v>
      </c>
      <c r="N376" t="s">
        <v>119</v>
      </c>
      <c r="O376" t="s">
        <v>120</v>
      </c>
      <c r="Q376" s="2">
        <v>46023</v>
      </c>
      <c r="R376" s="2">
        <v>46023</v>
      </c>
    </row>
    <row r="377" spans="1:18" x14ac:dyDescent="0.3">
      <c r="A377" t="s">
        <v>430</v>
      </c>
      <c r="B377" t="str">
        <f>VLOOKUP(A377,[1]!Tabela1[[PLACA]:[STATUS]],2,0)</f>
        <v>OK</v>
      </c>
      <c r="C377" s="2">
        <v>46310</v>
      </c>
      <c r="D377">
        <f t="shared" ca="1" si="5"/>
        <v>-4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184</v>
      </c>
      <c r="K377" t="s">
        <v>22</v>
      </c>
      <c r="L377" t="s">
        <v>11</v>
      </c>
      <c r="M377" t="s">
        <v>23</v>
      </c>
      <c r="N377" t="s">
        <v>119</v>
      </c>
      <c r="O377" t="s">
        <v>120</v>
      </c>
      <c r="Q377" s="2">
        <v>46023</v>
      </c>
      <c r="R377" s="2">
        <v>46023</v>
      </c>
    </row>
    <row r="378" spans="1:18" x14ac:dyDescent="0.3">
      <c r="A378" t="s">
        <v>431</v>
      </c>
      <c r="B378" t="str">
        <f>VLOOKUP(A378,[1]!Tabela1[[PLACA]:[STATUS]],2,0)</f>
        <v>OK</v>
      </c>
      <c r="C378" s="2">
        <v>46310</v>
      </c>
      <c r="D378">
        <f t="shared" ca="1" si="5"/>
        <v>-4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184</v>
      </c>
      <c r="K378" t="s">
        <v>22</v>
      </c>
      <c r="L378" t="s">
        <v>11</v>
      </c>
      <c r="M378" t="s">
        <v>23</v>
      </c>
      <c r="N378" t="s">
        <v>119</v>
      </c>
      <c r="O378" t="s">
        <v>120</v>
      </c>
      <c r="Q378" s="2">
        <v>46023</v>
      </c>
      <c r="R378" s="2">
        <v>46023</v>
      </c>
    </row>
    <row r="379" spans="1:18" x14ac:dyDescent="0.3">
      <c r="A379" t="s">
        <v>432</v>
      </c>
      <c r="B379" t="str">
        <f>VLOOKUP(A379,[1]!Tabela1[[PLACA]:[STATUS]],2,0)</f>
        <v>OK</v>
      </c>
      <c r="C379" s="2">
        <v>46310</v>
      </c>
      <c r="D379">
        <f t="shared" ca="1" si="5"/>
        <v>-4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184</v>
      </c>
      <c r="K379" t="s">
        <v>22</v>
      </c>
      <c r="L379" t="s">
        <v>11</v>
      </c>
      <c r="M379" t="s">
        <v>23</v>
      </c>
      <c r="N379" t="s">
        <v>119</v>
      </c>
      <c r="O379" t="s">
        <v>120</v>
      </c>
      <c r="Q379" s="2">
        <v>46023</v>
      </c>
      <c r="R379" s="2">
        <v>46023</v>
      </c>
    </row>
    <row r="380" spans="1:18" x14ac:dyDescent="0.3">
      <c r="A380" t="s">
        <v>433</v>
      </c>
      <c r="B380" t="str">
        <f>VLOOKUP(A380,[1]!Tabela1[[PLACA]:[STATUS]],2,0)</f>
        <v>OK</v>
      </c>
      <c r="C380" s="2">
        <v>46310</v>
      </c>
      <c r="D380">
        <f t="shared" ca="1" si="5"/>
        <v>-4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184</v>
      </c>
      <c r="K380" t="s">
        <v>225</v>
      </c>
      <c r="L380" t="s">
        <v>11</v>
      </c>
      <c r="M380" t="s">
        <v>29</v>
      </c>
      <c r="N380" t="s">
        <v>119</v>
      </c>
      <c r="O380" t="s">
        <v>449</v>
      </c>
      <c r="Q380" s="2">
        <v>46023</v>
      </c>
      <c r="R380" s="2">
        <v>46023</v>
      </c>
    </row>
    <row r="381" spans="1:18" x14ac:dyDescent="0.3">
      <c r="A381" t="s">
        <v>434</v>
      </c>
      <c r="B381" t="str">
        <f>VLOOKUP(A381,[1]!Tabela1[[PLACA]:[STATUS]],2,0)</f>
        <v>OK</v>
      </c>
      <c r="C381" s="2">
        <v>46310</v>
      </c>
      <c r="D381">
        <f t="shared" ca="1" si="5"/>
        <v>-4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184</v>
      </c>
      <c r="K381" t="s">
        <v>225</v>
      </c>
      <c r="L381" t="s">
        <v>11</v>
      </c>
      <c r="M381" t="s">
        <v>23</v>
      </c>
      <c r="N381" t="s">
        <v>119</v>
      </c>
      <c r="O381" t="s">
        <v>120</v>
      </c>
      <c r="Q381" s="2">
        <v>46023</v>
      </c>
      <c r="R381" s="2">
        <v>46023</v>
      </c>
    </row>
    <row r="382" spans="1:18" x14ac:dyDescent="0.3">
      <c r="A382" t="s">
        <v>435</v>
      </c>
      <c r="B382" t="str">
        <f>VLOOKUP(A382,[1]!Tabela1[[PLACA]:[STATUS]],2,0)</f>
        <v>OK</v>
      </c>
      <c r="C382" s="2">
        <v>46310</v>
      </c>
      <c r="D382">
        <f t="shared" ca="1" si="5"/>
        <v>-4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184</v>
      </c>
      <c r="K382" t="s">
        <v>225</v>
      </c>
      <c r="L382" t="s">
        <v>11</v>
      </c>
      <c r="M382" t="s">
        <v>23</v>
      </c>
      <c r="N382" t="s">
        <v>119</v>
      </c>
      <c r="O382" t="s">
        <v>120</v>
      </c>
      <c r="Q382" s="2">
        <v>46023</v>
      </c>
      <c r="R382" s="2">
        <v>46023</v>
      </c>
    </row>
    <row r="383" spans="1:18" x14ac:dyDescent="0.3">
      <c r="A383" t="s">
        <v>436</v>
      </c>
      <c r="B383" t="str">
        <f>VLOOKUP(A383,[1]!Tabela1[[PLACA]:[STATUS]],2,0)</f>
        <v>OK</v>
      </c>
      <c r="C383" s="2">
        <v>46310</v>
      </c>
      <c r="D383">
        <f t="shared" ca="1" si="5"/>
        <v>-4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184</v>
      </c>
      <c r="K383" t="s">
        <v>118</v>
      </c>
      <c r="L383" t="s">
        <v>33</v>
      </c>
      <c r="M383" t="s">
        <v>12</v>
      </c>
      <c r="N383" t="s">
        <v>24</v>
      </c>
      <c r="O383" t="s">
        <v>451</v>
      </c>
      <c r="Q383" s="2">
        <v>46023</v>
      </c>
      <c r="R383" s="2">
        <v>46023</v>
      </c>
    </row>
    <row r="384" spans="1:18" x14ac:dyDescent="0.3">
      <c r="A384" t="s">
        <v>437</v>
      </c>
      <c r="B384" t="str">
        <f>VLOOKUP(A384,[1]!Tabela1[[PLACA]:[STATUS]],2,0)</f>
        <v>OK</v>
      </c>
      <c r="C384" s="2">
        <v>46299</v>
      </c>
      <c r="D384">
        <f t="shared" ca="1" si="5"/>
        <v>-15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184</v>
      </c>
      <c r="K384" t="s">
        <v>118</v>
      </c>
      <c r="L384" t="s">
        <v>33</v>
      </c>
      <c r="M384" t="s">
        <v>12</v>
      </c>
      <c r="N384" t="s">
        <v>24</v>
      </c>
      <c r="O384" t="s">
        <v>451</v>
      </c>
      <c r="Q384" s="2">
        <v>46023</v>
      </c>
      <c r="R384" s="2">
        <v>46023</v>
      </c>
    </row>
    <row r="385" spans="1:18" x14ac:dyDescent="0.3">
      <c r="A385" t="s">
        <v>438</v>
      </c>
      <c r="B385" t="str">
        <f>VLOOKUP(A385,[1]!Tabela1[[PLACA]:[STATUS]],2,0)</f>
        <v>OK</v>
      </c>
      <c r="C385" s="2">
        <v>46310</v>
      </c>
      <c r="D385">
        <f t="shared" ref="D385:D392" ca="1" si="6">C385-$S$1</f>
        <v>-4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184</v>
      </c>
      <c r="K385" t="s">
        <v>118</v>
      </c>
      <c r="L385" t="s">
        <v>33</v>
      </c>
      <c r="M385" t="s">
        <v>12</v>
      </c>
      <c r="N385" t="s">
        <v>24</v>
      </c>
      <c r="O385" t="s">
        <v>451</v>
      </c>
      <c r="Q385" s="2">
        <v>46023</v>
      </c>
      <c r="R385" s="2">
        <v>46023</v>
      </c>
    </row>
    <row r="386" spans="1:18" x14ac:dyDescent="0.3">
      <c r="A386" t="s">
        <v>439</v>
      </c>
      <c r="B386" t="str">
        <f>VLOOKUP(A386,[1]!Tabela1[[PLACA]:[STATUS]],2,0)</f>
        <v>OK</v>
      </c>
      <c r="C386" s="2">
        <v>46310</v>
      </c>
      <c r="D386">
        <f t="shared" ca="1" si="6"/>
        <v>-4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184</v>
      </c>
      <c r="K386" t="s">
        <v>118</v>
      </c>
      <c r="L386" t="s">
        <v>33</v>
      </c>
      <c r="M386" t="s">
        <v>12</v>
      </c>
      <c r="N386" t="s">
        <v>24</v>
      </c>
      <c r="O386" t="s">
        <v>120</v>
      </c>
      <c r="Q386" s="2">
        <v>46023</v>
      </c>
      <c r="R386" s="2">
        <v>46023</v>
      </c>
    </row>
    <row r="387" spans="1:18" x14ac:dyDescent="0.3">
      <c r="A387" t="s">
        <v>440</v>
      </c>
      <c r="B387" t="str">
        <f>VLOOKUP(A387,[1]!Tabela1[[PLACA]:[STATUS]],2,0)</f>
        <v>OK</v>
      </c>
      <c r="C387" s="2">
        <v>0</v>
      </c>
      <c r="D387">
        <f t="shared" ca="1" si="6"/>
        <v>-46314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184</v>
      </c>
      <c r="K387" t="s">
        <v>61</v>
      </c>
      <c r="L387" t="s">
        <v>11</v>
      </c>
      <c r="M387" t="s">
        <v>12</v>
      </c>
      <c r="N387" t="s">
        <v>88</v>
      </c>
      <c r="O387" t="s">
        <v>461</v>
      </c>
      <c r="Q387" s="2">
        <v>46023</v>
      </c>
      <c r="R387" s="2">
        <v>46023</v>
      </c>
    </row>
    <row r="388" spans="1:18" x14ac:dyDescent="0.3">
      <c r="A388" t="s">
        <v>441</v>
      </c>
      <c r="B388" t="str">
        <f>VLOOKUP(A388,[1]!Tabela1[[PLACA]:[STATUS]],2,0)</f>
        <v>OK</v>
      </c>
      <c r="C388" s="2">
        <v>0</v>
      </c>
      <c r="D388">
        <f t="shared" ca="1" si="6"/>
        <v>-46314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184</v>
      </c>
      <c r="K388" t="s">
        <v>61</v>
      </c>
      <c r="L388" t="s">
        <v>11</v>
      </c>
      <c r="M388" t="s">
        <v>12</v>
      </c>
      <c r="N388" t="s">
        <v>88</v>
      </c>
      <c r="O388" t="s">
        <v>461</v>
      </c>
      <c r="Q388" s="2">
        <v>46023</v>
      </c>
      <c r="R388" s="2">
        <v>46023</v>
      </c>
    </row>
    <row r="389" spans="1:18" x14ac:dyDescent="0.3">
      <c r="A389" t="s">
        <v>442</v>
      </c>
      <c r="B389" t="str">
        <f>VLOOKUP(A389,[1]!Tabela1[[PLACA]:[STATUS]],2,0)</f>
        <v>OK</v>
      </c>
      <c r="C389" s="2">
        <v>0</v>
      </c>
      <c r="D389">
        <f t="shared" ca="1" si="6"/>
        <v>-46314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184</v>
      </c>
      <c r="K389" t="s">
        <v>61</v>
      </c>
      <c r="L389" t="s">
        <v>11</v>
      </c>
      <c r="M389" t="s">
        <v>12</v>
      </c>
      <c r="N389" t="s">
        <v>88</v>
      </c>
      <c r="O389" t="s">
        <v>461</v>
      </c>
      <c r="Q389" s="2">
        <v>46023</v>
      </c>
      <c r="R389" s="2">
        <v>46023</v>
      </c>
    </row>
    <row r="390" spans="1:18" x14ac:dyDescent="0.3">
      <c r="A390" t="s">
        <v>443</v>
      </c>
      <c r="B390" t="str">
        <f>VLOOKUP(A390,[1]!Tabela1[[PLACA]:[STATUS]],2,0)</f>
        <v>OK</v>
      </c>
      <c r="C390" s="2">
        <v>0</v>
      </c>
      <c r="D390">
        <f t="shared" ca="1" si="6"/>
        <v>-46314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184</v>
      </c>
      <c r="K390" t="s">
        <v>61</v>
      </c>
      <c r="L390" t="s">
        <v>11</v>
      </c>
      <c r="M390" t="s">
        <v>12</v>
      </c>
      <c r="N390" t="s">
        <v>88</v>
      </c>
      <c r="O390" t="s">
        <v>461</v>
      </c>
      <c r="Q390" s="2">
        <v>46023</v>
      </c>
      <c r="R390" s="2">
        <v>46023</v>
      </c>
    </row>
    <row r="391" spans="1:18" x14ac:dyDescent="0.3">
      <c r="A391" t="s">
        <v>444</v>
      </c>
      <c r="B391" t="str">
        <f>VLOOKUP(A391,[1]!Tabela1[[PLACA]:[STATUS]],2,0)</f>
        <v>OK</v>
      </c>
      <c r="C391" s="2">
        <v>46310</v>
      </c>
      <c r="D391">
        <f t="shared" ca="1" si="6"/>
        <v>-4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184</v>
      </c>
      <c r="K391" t="s">
        <v>10</v>
      </c>
      <c r="L391" t="s">
        <v>11</v>
      </c>
      <c r="M391" t="s">
        <v>12</v>
      </c>
      <c r="N391" t="s">
        <v>178</v>
      </c>
      <c r="O391" t="s">
        <v>448</v>
      </c>
      <c r="Q391" s="2">
        <v>46023</v>
      </c>
      <c r="R391" s="2">
        <v>46023</v>
      </c>
    </row>
    <row r="392" spans="1:18" x14ac:dyDescent="0.3">
      <c r="A392" t="s">
        <v>445</v>
      </c>
      <c r="B392" t="str">
        <f>VLOOKUP(A392,[1]!Tabela1[[PLACA]:[STATUS]],2,0)</f>
        <v>OK</v>
      </c>
      <c r="C392" s="2">
        <v>46310</v>
      </c>
      <c r="D392">
        <f t="shared" ca="1" si="6"/>
        <v>-4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184</v>
      </c>
      <c r="K392" t="s">
        <v>10</v>
      </c>
      <c r="L392" t="s">
        <v>11</v>
      </c>
      <c r="M392" t="s">
        <v>12</v>
      </c>
      <c r="N392" t="s">
        <v>178</v>
      </c>
      <c r="O392" t="s">
        <v>451</v>
      </c>
      <c r="Q392" s="2">
        <v>46023</v>
      </c>
      <c r="R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2026-10-19T11:31:48Z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