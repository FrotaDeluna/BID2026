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"/>
    </mc:Choice>
  </mc:AlternateContent>
  <xr:revisionPtr revIDLastSave="276" documentId="11_1BA57A0BCA357D1375850D421C43AE8381E2225B" xr6:coauthVersionLast="47" xr6:coauthVersionMax="47" xr10:uidLastSave="{12BE4C9D-CFDB-408D-8D0C-DB5F9725C28A}"/>
  <bookViews>
    <workbookView xWindow="-108" yWindow="-108" windowWidth="23256" windowHeight="12456" xr2:uid="{00000000-000D-0000-FFFF-FFFF00000000}"/>
  </bookViews>
  <sheets>
    <sheet name="Placas_BID2026" sheetId="1" r:id="rId1"/>
  </sheets>
  <externalReferences>
    <externalReference r:id="rId2"/>
  </externalReferences>
  <definedNames>
    <definedName name="_xlnm._FilterDatabase" localSheetId="0" hidden="1">Placas_BID2026!$A$1:$R$394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3" i="1" l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2" i="1"/>
  <c r="R1" i="1"/>
  <c r="C277" i="1" l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8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<sst xmlns="http://schemas.openxmlformats.org/spreadsheetml/2006/main" count="4729" uniqueCount="472">
  <si>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</si>
  <si>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</si>
  <si>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</si>
  <si>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</si>
  <si>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</si>
  <si>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</si>
  <si>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</si>
  <si>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</si>
  <si>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</si>
  <si>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</si>
  <si>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</si>
  <si>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</si>
  <si>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</si>
  <si>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</si>
  <si>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</si>
  <si>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</si>
  <si>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</si>
  <si>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</si>
  <si>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</si>
  <si>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</si>
  <si>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</si>
  <si>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</si>
  <si>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</si>
  <si>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</si>
  <si>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</si>
  <si>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</si>
  <si>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</si>
  <si>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</si>
  <si>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</si>
  <si>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</si>
  <si>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</si>
  <si>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</si>
  <si>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</si>
  <si>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</si>
  <si>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</si>
  <si>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</si>
  <si>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</si>
  <si>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</si>
  <si>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</si>
  <si>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</si>
  <si>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</si>
  <si>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</si>
  <si>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</si>
  <si>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</si>
  <si>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</si>
  <si>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</si>
  <si>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</si>
  <si>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</si>
  <si>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</si>
  <si>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</si>
  <si>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</si>
  <si>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</si>
  <si>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</si>
  <si>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</si>
  <si>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</si>
  <si>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</si>
  <si>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</si>
  <si>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</si>
  <si>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</si>
  <si>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</si>
  <si>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</si>
  <si>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</si>
  <si>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</si>
  <si>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</si>
  <si>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</si>
  <si>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</si>
  <si>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</si>
  <si>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</si>
  <si>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</si>
  <si>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</si>
  <si>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</si>
  <si>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</si>
  <si>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</si>
  <si>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</si>
  <si>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</si>
  <si>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</si>
  <si>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</si>
  <si>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</si>
  <si>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</si>
  <si>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</si>
  <si>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</si>
  <si>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</si>
  <si>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</si>
  <si>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</si>
  <si>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</si>
  <si>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</si>
  <si>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</si>
  <si>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</si>
  <si>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</si>
  <si>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</si>
  <si>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</si>
  <si>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</si>
  <si>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</si>
  <si>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</si>
  <si>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</si>
  <si>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</si>
  <si>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</si>
  <si>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</si>
  <si>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</si>
  <si>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</si>
  <si>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</si>
  <si>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</si>
  <si>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</si>
  <si>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</si>
  <si>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</si>
  <si>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</si>
  <si>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</si>
  <si>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</si>
  <si>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</si>
  <si>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</si>
  <si>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</si>
  <si>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</si>
  <si>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</si>
  <si>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</si>
  <si>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</si>
  <si>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</si>
  <si>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</si>
  <si>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</si>
  <si>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</si>
  <si>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</si>
  <si>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</si>
  <si>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</si>
  <si>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</si>
  <si>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</si>
  <si>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</si>
  <si>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</si>
  <si>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</si>
  <si>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</si>
  <si>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</si>
  <si>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</si>
  <si>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</si>
  <si>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</si>
  <si>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</si>
  <si>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</si>
  <si>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</si>
  <si>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</si>
  <si>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</si>
  <si>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</si>
  <si>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</si>
  <si>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</si>
  <si>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</si>
  <si>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</si>
  <si>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</si>
  <si>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</si>
  <si>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</si>
  <si>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</si>
  <si>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</si>
  <si>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</si>
  <si>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</si>
  <si>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</si>
  <si>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</si>
  <si>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</si>
  <si>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</si>
  <si>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</si>
  <si>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</si>
  <si>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</si>
  <si>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</si>
  <si>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</si>
  <si>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</si>
  <si>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</si>
  <si>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</si>
  <si>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</si>
  <si>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</si>
  <si>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</si>
  <si>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</si>
  <si>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</si>
  <si>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</si>
  <si>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</si>
  <si>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</si>
  <si>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</si>
  <si>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</si>
  <si>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</si>
  <si>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</si>
  <si>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</si>
  <si>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</si>
  <si>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</si>
  <si>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</si>
  <si>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</si>
  <si>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</si>
  <si>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</si>
  <si>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</si>
  <si>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</si>
  <si>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</si>
  <si>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</si>
  <si>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</si>
  <si>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</si>
  <si>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</si>
  <si>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</si>
  <si>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</si>
  <si>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</si>
  <si>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</si>
  <si>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</si>
  <si>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</si>
  <si>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</si>
  <si>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</si>
  <si>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</si>
  <si>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</si>
  <si>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</si>
  <si>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</si>
  <si>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</si>
  <si>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</si>
  <si>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</si>
  <si>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</si>
  <si>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</si>
  <si>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</si>
  <si>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</si>
  <si>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</si>
  <si>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</si>
  <si>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</si>
  <si>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</si>
  <si>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</si>
  <si>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</si>
  <si>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</si>
  <si>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</si>
  <si>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</si>
  <si>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</si>
  <si>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</si>
  <si>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</si>
  <si>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</si>
  <si>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</si>
  <si>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</si>
  <si>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</si>
  <si>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</si>
  <si>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</si>
  <si>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</si>
  <si>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</si>
  <si>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</si>
  <si>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</si>
  <si>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</si>
  <si>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</si>
  <si>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</si>
  <si>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</si>
  <si>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</si>
  <si>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</si>
  <si>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</si>
  <si>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</si>
  <si>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</si>
  <si>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</si>
  <si>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</si>
  <si>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</si>
  <si>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</si>
  <si>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</si>
  <si>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</si>
  <si>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</si>
  <si>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TDC0E08</t>
  </si>
  <si>
    <t>TXJ6H46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</si>
  <si>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</si>
  <si>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</si>
  <si>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</si>
  <si>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</si>
  <si>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</si>
  <si>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</si>
  <si>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</si>
  <si>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</si>
  <si>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</si>
  <si>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</si>
  <si>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</si>
  <si>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</si>
  <si>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</si>
  <si>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</si>
  <si>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</si>
  <si>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</si>
  <si>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</si>
  <si>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</si>
  <si>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</si>
  <si>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</si>
  <si>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</si>
  <si>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</si>
  <si>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</si>
  <si>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</si>
  <si>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</si>
  <si>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</si>
  <si>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</si>
  <si>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</si>
  <si>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</si>
  <si>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</si>
  <si>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</si>
  <si>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</si>
  <si>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</si>
  <si>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</si>
  <si>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</si>
  <si>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</si>
  <si>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</si>
  <si>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</si>
  <si>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</si>
  <si>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</si>
  <si>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</si>
  <si>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</si>
  <si>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</si>
  <si>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</si>
  <si>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</si>
  <si>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</si>
  <si>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</si>
  <si>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</si>
  <si>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</si>
  <si>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</si>
  <si>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</si>
  <si>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</si>
  <si>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</si>
  <si>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</si>
  <si>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</si>
  <si>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</si>
  <si>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</si>
  <si>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</si>
  <si>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</si>
  <si>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</si>
  <si>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</si>
  <si>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</si>
  <si>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</si>
  <si>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</si>
  <si>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</si>
  <si>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</si>
  <si>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</si>
  <si>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</si>
  <si>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</si>
  <si>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</si>
  <si>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</si>
  <si>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</si>
  <si>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</si>
  <si>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</si>
  <si>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</si>
  <si>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</si>
  <si>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</si>
  <si>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</si>
  <si>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</si>
  <si>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</si>
  <si>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</si>
  <si>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</si>
  <si>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</si>
  <si>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</si>
  <si>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</si>
  <si>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</si>
  <si>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</si>
  <si>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</si>
  <si>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</si>
  <si>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</si>
  <si>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</si>
  <si>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</si>
  <si>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</si>
  <si>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</si>
  <si>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</si>
  <si>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</si>
  <si>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</si>
  <si>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</si>
  <si>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</si>
  <si>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</si>
  <si>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</si>
  <si>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</si>
  <si>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</si>
  <si>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</si>
  <si>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</si>
  <si>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</si>
  <si>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</si>
  <si>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</si>
  <si>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</si>
  <si>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</si>
  <si>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</si>
  <si>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</si>
  <si>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</si>
  <si>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</si>
  <si>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</si>
  <si>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</si>
  <si>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</si>
  <si>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</si>
  <si>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</si>
  <si>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</si>
  <si>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</si>
  <si>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</si>
  <si>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</si>
  <si>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</si>
  <si>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</si>
  <si>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</si>
  <si>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</si>
  <si>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</si>
  <si>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</si>
  <si>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</si>
  <si>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</si>
  <si>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</si>
  <si>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</si>
  <si>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</si>
  <si>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</si>
  <si>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</si>
  <si>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</si>
  <si>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</si>
  <si>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</si>
  <si>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</si>
  <si>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</si>
  <si>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</si>
  <si>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</si>
  <si>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</si>
  <si>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</si>
  <si>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</si>
  <si>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</si>
  <si>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</si>
  <si>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</si>
  <si>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</si>
  <si>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</si>
  <si>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</si>
  <si>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</si>
  <si>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</si>
  <si>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</si>
  <si>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</si>
  <si>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</si>
  <si>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</si>
  <si>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</si>
  <si>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</si>
  <si>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</si>
  <si>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</si>
  <si>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</si>
  <si>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</si>
  <si>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</si>
  <si>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</si>
  <si>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</si>
  <si>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</si>
  <si>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</si>
  <si>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</si>
  <si>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</si>
  <si>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</si>
  <si>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</si>
  <si>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</si>
  <si>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</si>
  <si>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</si>
  <si>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</si>
  <si>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</si>
  <si>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</si>
  <si>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</si>
  <si>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</si>
  <si>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</si>
  <si>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</si>
  <si>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</si>
  <si>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</si>
  <si>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</si>
  <si>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</si>
  <si>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</si>
  <si>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</si>
  <si>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</si>
  <si>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</si>
  <si>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</si>
  <si>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</si>
  <si>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</si>
  <si>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</si>
  <si>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</si>
  <si>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</si>
  <si>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</si>
  <si>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</si>
  <si>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</si>
  <si>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</si>
  <si>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</si>
  <si>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</si>
  <si>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</si>
  <si>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</si>
  <si>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</si>
  <si>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</si>
  <si>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</si>
  <si>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</si>
  <si>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19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</si>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</sst>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unatransportes-my.sharepoint.com/personal/alexsander_miranda_delunatransportes_com_br/Documents/&#193;rea%20de%20Trabalho/DISPONIBILIDADE%20X%20UTILIZA&#199;&#195;O/DISPONIBILIDADE%20-%20UTILIZA&#199;&#195;O%20(1).xlsx" TargetMode="External"/><Relationship Id="rId1" Type="http://schemas.openxmlformats.org/officeDocument/2006/relationships/externalLinkPath" Target="DISPONIBILIDADE%20X%20UTILIZA&#199;&#195;O/DISPONIBILIDADE%20-%20UTILIZA&#199;&#195;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.10"/>
      <sheetName val="02.10"/>
      <sheetName val="05.10"/>
      <sheetName val="06.10"/>
      <sheetName val="07.10"/>
      <sheetName val="08.10"/>
      <sheetName val="09.10"/>
      <sheetName val="13.10"/>
      <sheetName val="14.10"/>
      <sheetName val="15.10"/>
      <sheetName val="LOGISTI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A1" t="str">
            <v>DISPONIBILIDADE X UTILIZAÇÃO</v>
          </cell>
        </row>
        <row r="2">
          <cell r="A2" t="str">
            <v>PLACA</v>
          </cell>
          <cell r="B2" t="str">
            <v>BASE</v>
          </cell>
          <cell r="C2" t="str">
            <v>STATUS</v>
          </cell>
          <cell r="D2" t="str">
            <v>LOCADORA</v>
          </cell>
          <cell r="E2" t="str">
            <v>DATA BIPAGEM</v>
          </cell>
        </row>
        <row r="3">
          <cell r="A3" t="str">
            <v>SDQ2A40</v>
          </cell>
          <cell r="B3" t="str">
            <v>SMG14</v>
          </cell>
          <cell r="C3" t="str">
            <v>ATIVA</v>
          </cell>
          <cell r="D3" t="str">
            <v>LOCALIZA</v>
          </cell>
          <cell r="E3">
            <v>46300</v>
          </cell>
        </row>
        <row r="4">
          <cell r="A4" t="str">
            <v>SDT9F21</v>
          </cell>
          <cell r="B4" t="str">
            <v>SMG14</v>
          </cell>
          <cell r="C4" t="str">
            <v>SEM DRIVER</v>
          </cell>
          <cell r="D4" t="str">
            <v>LOCALIZA</v>
          </cell>
          <cell r="E4">
            <v>46301</v>
          </cell>
        </row>
        <row r="5">
          <cell r="A5" t="str">
            <v>SDT9F24</v>
          </cell>
          <cell r="B5" t="str">
            <v>SMG14</v>
          </cell>
          <cell r="C5" t="str">
            <v>MANUTENÇÃO</v>
          </cell>
          <cell r="D5" t="str">
            <v>LOCALIZA</v>
          </cell>
          <cell r="E5">
            <v>46299</v>
          </cell>
        </row>
        <row r="6">
          <cell r="A6" t="str">
            <v>SDT9F26</v>
          </cell>
          <cell r="B6" t="str">
            <v>SMG14</v>
          </cell>
          <cell r="C6" t="str">
            <v>SEM DRIVER</v>
          </cell>
          <cell r="D6" t="str">
            <v>LOCALIZA</v>
          </cell>
          <cell r="E6">
            <v>46305</v>
          </cell>
        </row>
        <row r="7">
          <cell r="A7" t="str">
            <v>TDZ7B54</v>
          </cell>
          <cell r="B7" t="str">
            <v>SMG14</v>
          </cell>
          <cell r="C7" t="str">
            <v>ATIVA</v>
          </cell>
          <cell r="D7" t="str">
            <v>VAMOS</v>
          </cell>
          <cell r="E7">
            <v>46304</v>
          </cell>
        </row>
        <row r="8">
          <cell r="A8" t="str">
            <v>TEB5I94</v>
          </cell>
          <cell r="B8" t="str">
            <v>SMG14</v>
          </cell>
          <cell r="C8" t="str">
            <v>ATIVA</v>
          </cell>
          <cell r="D8" t="str">
            <v>VAMOS</v>
          </cell>
          <cell r="E8">
            <v>46304</v>
          </cell>
        </row>
        <row r="9">
          <cell r="A9" t="str">
            <v>SSB4J53</v>
          </cell>
          <cell r="B9" t="str">
            <v>SMG3</v>
          </cell>
          <cell r="C9" t="str">
            <v>MANUTENÇÃO</v>
          </cell>
          <cell r="D9" t="str">
            <v>DELUNA</v>
          </cell>
          <cell r="E9">
            <v>46303</v>
          </cell>
        </row>
        <row r="10">
          <cell r="A10" t="str">
            <v>SSB4J82</v>
          </cell>
          <cell r="B10" t="str">
            <v>SMG3</v>
          </cell>
          <cell r="C10" t="str">
            <v>MANUTENÇÃO</v>
          </cell>
          <cell r="D10" t="str">
            <v>DELUNA</v>
          </cell>
          <cell r="E10">
            <v>46304</v>
          </cell>
        </row>
        <row r="11">
          <cell r="A11" t="str">
            <v>TTA3B51</v>
          </cell>
          <cell r="B11" t="str">
            <v>SRJ10</v>
          </cell>
          <cell r="C11" t="str">
            <v>ATIVA</v>
          </cell>
          <cell r="D11" t="str">
            <v>DELUNA</v>
          </cell>
          <cell r="E11">
            <v>46302</v>
          </cell>
        </row>
        <row r="12">
          <cell r="A12" t="str">
            <v>TZK7F85</v>
          </cell>
          <cell r="B12" t="str">
            <v>SRJ10</v>
          </cell>
          <cell r="C12" t="str">
            <v>ATIVA</v>
          </cell>
          <cell r="D12" t="str">
            <v>LOCALIZA</v>
          </cell>
          <cell r="E12">
            <v>46296</v>
          </cell>
        </row>
        <row r="13">
          <cell r="A13" t="str">
            <v>TTL0B02</v>
          </cell>
          <cell r="B13" t="str">
            <v>SRJ10</v>
          </cell>
          <cell r="C13" t="str">
            <v>ATIVA</v>
          </cell>
          <cell r="D13" t="str">
            <v>DELUNA</v>
          </cell>
          <cell r="E13">
            <v>46305</v>
          </cell>
        </row>
        <row r="14">
          <cell r="A14" t="str">
            <v>TBQ3B30</v>
          </cell>
          <cell r="B14" t="str">
            <v>SES1</v>
          </cell>
          <cell r="C14" t="str">
            <v>ATIVA</v>
          </cell>
          <cell r="D14" t="str">
            <v>TKS</v>
          </cell>
          <cell r="E14">
            <v>46303</v>
          </cell>
        </row>
        <row r="15">
          <cell r="A15" t="str">
            <v>TBK4I38</v>
          </cell>
          <cell r="B15" t="str">
            <v>SMG14</v>
          </cell>
          <cell r="C15" t="str">
            <v>ATIVA</v>
          </cell>
          <cell r="D15" t="str">
            <v>ARVAL</v>
          </cell>
          <cell r="E15">
            <v>46266</v>
          </cell>
        </row>
        <row r="16">
          <cell r="A16" t="str">
            <v>TBK4I57</v>
          </cell>
          <cell r="B16" t="str">
            <v>SMG14</v>
          </cell>
          <cell r="C16" t="str">
            <v>ATIVA</v>
          </cell>
          <cell r="D16" t="str">
            <v>ARVAL</v>
          </cell>
          <cell r="E16">
            <v>46302</v>
          </cell>
        </row>
        <row r="17">
          <cell r="A17" t="str">
            <v>TEE1H79</v>
          </cell>
          <cell r="B17" t="str">
            <v>SMG3</v>
          </cell>
          <cell r="C17" t="str">
            <v>MANUTENÇÃO</v>
          </cell>
          <cell r="D17" t="str">
            <v>VAMOS</v>
          </cell>
          <cell r="E17">
            <v>46301</v>
          </cell>
        </row>
        <row r="18">
          <cell r="A18" t="str">
            <v>TEO9D70</v>
          </cell>
          <cell r="B18" t="str">
            <v>SMG3</v>
          </cell>
          <cell r="C18" t="str">
            <v>ATIVA</v>
          </cell>
          <cell r="D18" t="str">
            <v>VAMOS</v>
          </cell>
          <cell r="E18">
            <v>46304</v>
          </cell>
        </row>
        <row r="19">
          <cell r="A19" t="str">
            <v>TEW5I97</v>
          </cell>
          <cell r="B19" t="str">
            <v>SMG3</v>
          </cell>
          <cell r="C19" t="str">
            <v>ATIVA</v>
          </cell>
          <cell r="D19" t="str">
            <v>VAMOS</v>
          </cell>
          <cell r="E19">
            <v>46304</v>
          </cell>
        </row>
        <row r="20">
          <cell r="A20" t="str">
            <v>TEY7J41</v>
          </cell>
          <cell r="B20" t="str">
            <v>SMG3</v>
          </cell>
          <cell r="C20" t="str">
            <v>ATIVA</v>
          </cell>
          <cell r="D20" t="str">
            <v>VAMOS</v>
          </cell>
          <cell r="E20">
            <v>46260</v>
          </cell>
        </row>
        <row r="21">
          <cell r="A21" t="str">
            <v>TOL2C54</v>
          </cell>
          <cell r="B21" t="str">
            <v>SRJ1</v>
          </cell>
          <cell r="C21" t="str">
            <v>ATIVA</v>
          </cell>
          <cell r="D21" t="str">
            <v>PRALOG</v>
          </cell>
          <cell r="E21">
            <v>46298</v>
          </cell>
        </row>
        <row r="22">
          <cell r="A22" t="str">
            <v>TDC0E08</v>
          </cell>
          <cell r="B22" t="str">
            <v>SRJ5</v>
          </cell>
          <cell r="C22" t="str">
            <v>ATIVA</v>
          </cell>
          <cell r="D22" t="str">
            <v>UNIDAS</v>
          </cell>
          <cell r="E22">
            <v>46211</v>
          </cell>
        </row>
        <row r="23">
          <cell r="A23" t="str">
            <v>TXJ6H46</v>
          </cell>
          <cell r="B23" t="str">
            <v>SRJ5</v>
          </cell>
          <cell r="C23" t="str">
            <v>ATIVA</v>
          </cell>
          <cell r="D23" t="str">
            <v>UNIDAS</v>
          </cell>
          <cell r="E23">
            <v>46231</v>
          </cell>
        </row>
        <row r="24">
          <cell r="A24" t="str">
            <v>TUI1F41</v>
          </cell>
          <cell r="B24" t="str">
            <v>SRJ10</v>
          </cell>
          <cell r="C24" t="str">
            <v>ATIVA</v>
          </cell>
          <cell r="D24" t="str">
            <v>DELUNA</v>
          </cell>
          <cell r="E24">
            <v>46303</v>
          </cell>
        </row>
        <row r="25">
          <cell r="A25" t="str">
            <v>TBX8H67</v>
          </cell>
          <cell r="B25" t="str">
            <v>SRJ10</v>
          </cell>
          <cell r="C25" t="str">
            <v>ATIVA</v>
          </cell>
          <cell r="D25" t="str">
            <v>TKS</v>
          </cell>
          <cell r="E25">
            <v>46301</v>
          </cell>
        </row>
        <row r="26">
          <cell r="A26" t="str">
            <v>TBW6F03</v>
          </cell>
          <cell r="B26" t="str">
            <v>SRJ15</v>
          </cell>
          <cell r="C26" t="str">
            <v>ATIVA</v>
          </cell>
          <cell r="D26" t="str">
            <v>TKS</v>
          </cell>
          <cell r="E26">
            <v>46305</v>
          </cell>
        </row>
        <row r="27">
          <cell r="A27" t="str">
            <v>TBJ9G10</v>
          </cell>
          <cell r="B27" t="str">
            <v>SRJ8</v>
          </cell>
          <cell r="C27" t="str">
            <v>MANUTENÇÃO</v>
          </cell>
          <cell r="D27" t="str">
            <v>TKS</v>
          </cell>
          <cell r="E27">
            <v>46303</v>
          </cell>
        </row>
        <row r="28">
          <cell r="A28" t="str">
            <v>TZN9E40</v>
          </cell>
          <cell r="B28" t="str">
            <v>SES2</v>
          </cell>
          <cell r="C28" t="str">
            <v>ATIVA</v>
          </cell>
          <cell r="D28" t="str">
            <v>LOCALIZA</v>
          </cell>
          <cell r="E28">
            <v>46304</v>
          </cell>
        </row>
        <row r="29">
          <cell r="A29" t="str">
            <v>TZK7G95</v>
          </cell>
          <cell r="B29" t="str">
            <v>SMG14</v>
          </cell>
          <cell r="C29" t="str">
            <v>ATIVA</v>
          </cell>
          <cell r="D29" t="str">
            <v>LOCALIZA</v>
          </cell>
          <cell r="E29">
            <v>46303</v>
          </cell>
        </row>
        <row r="30">
          <cell r="A30" t="str">
            <v>EKP2A86</v>
          </cell>
          <cell r="B30" t="str">
            <v>SMG3</v>
          </cell>
          <cell r="C30" t="str">
            <v>ATIVA</v>
          </cell>
          <cell r="D30" t="str">
            <v>TKS</v>
          </cell>
          <cell r="E30">
            <v>46281</v>
          </cell>
        </row>
        <row r="31">
          <cell r="A31" t="str">
            <v>TXS8A91</v>
          </cell>
          <cell r="B31" t="str">
            <v>SMG3</v>
          </cell>
          <cell r="C31" t="str">
            <v>ATIVA</v>
          </cell>
          <cell r="D31" t="str">
            <v>VAMOS</v>
          </cell>
          <cell r="E31">
            <v>46304</v>
          </cell>
        </row>
        <row r="32">
          <cell r="A32" t="str">
            <v>TZK7G22</v>
          </cell>
          <cell r="B32" t="str">
            <v>SRJ1</v>
          </cell>
          <cell r="C32" t="str">
            <v>ATIVA</v>
          </cell>
          <cell r="D32" t="str">
            <v>LOCALIZA</v>
          </cell>
          <cell r="E32">
            <v>46305</v>
          </cell>
        </row>
        <row r="33">
          <cell r="A33" t="str">
            <v>TZM0A63</v>
          </cell>
          <cell r="B33" t="str">
            <v>SRJ1</v>
          </cell>
          <cell r="C33" t="str">
            <v>ATIVA</v>
          </cell>
          <cell r="D33" t="str">
            <v>LOCALIZA</v>
          </cell>
          <cell r="E33">
            <v>46304</v>
          </cell>
        </row>
        <row r="34">
          <cell r="A34" t="str">
            <v>TZK7G30</v>
          </cell>
          <cell r="B34" t="str">
            <v>SRJ1</v>
          </cell>
          <cell r="C34" t="str">
            <v>ATIVA</v>
          </cell>
          <cell r="D34" t="str">
            <v>LOCALIZA</v>
          </cell>
          <cell r="E34">
            <v>46305</v>
          </cell>
        </row>
        <row r="35">
          <cell r="A35" t="str">
            <v>TXJ6H38</v>
          </cell>
          <cell r="B35" t="str">
            <v>SRJ10</v>
          </cell>
          <cell r="C35" t="str">
            <v>ATIVA</v>
          </cell>
          <cell r="D35" t="str">
            <v>UNIDAS</v>
          </cell>
          <cell r="E35">
            <v>46301</v>
          </cell>
        </row>
        <row r="36">
          <cell r="A36" t="str">
            <v>TXJ6H73</v>
          </cell>
          <cell r="B36" t="str">
            <v>SRJ10</v>
          </cell>
          <cell r="C36" t="str">
            <v>ATIVA</v>
          </cell>
          <cell r="D36" t="str">
            <v>UNIDAS</v>
          </cell>
          <cell r="E36">
            <v>46300</v>
          </cell>
        </row>
        <row r="37">
          <cell r="A37" t="str">
            <v>TZK7F87</v>
          </cell>
          <cell r="B37" t="str">
            <v>SRJ10</v>
          </cell>
          <cell r="C37" t="str">
            <v>ATIVA</v>
          </cell>
          <cell r="D37" t="str">
            <v>LOCALIZA</v>
          </cell>
          <cell r="E37">
            <v>46302</v>
          </cell>
        </row>
        <row r="38">
          <cell r="A38" t="str">
            <v>QSR8G51</v>
          </cell>
          <cell r="B38" t="str">
            <v>SRJ15</v>
          </cell>
          <cell r="C38" t="str">
            <v>ATIVA</v>
          </cell>
          <cell r="D38" t="str">
            <v>LM TRANPORTES</v>
          </cell>
          <cell r="E38">
            <v>46290</v>
          </cell>
        </row>
        <row r="39">
          <cell r="A39" t="str">
            <v>TLQ1J14</v>
          </cell>
          <cell r="B39" t="str">
            <v>SRJ15</v>
          </cell>
          <cell r="C39" t="str">
            <v>ATIVA</v>
          </cell>
          <cell r="D39" t="str">
            <v>LM TRANPORTES</v>
          </cell>
          <cell r="E39">
            <v>46305</v>
          </cell>
        </row>
        <row r="40">
          <cell r="A40" t="str">
            <v>UCL8B44</v>
          </cell>
          <cell r="B40" t="str">
            <v>SMG3</v>
          </cell>
          <cell r="C40" t="str">
            <v>SEM DRIVER</v>
          </cell>
          <cell r="D40" t="str">
            <v>TKS</v>
          </cell>
          <cell r="E40">
            <v>46304</v>
          </cell>
        </row>
        <row r="41">
          <cell r="A41" t="str">
            <v>TUG6J81</v>
          </cell>
          <cell r="B41" t="str">
            <v>SRJ10</v>
          </cell>
          <cell r="C41" t="str">
            <v>ATIVA</v>
          </cell>
          <cell r="D41" t="str">
            <v>DELUNA</v>
          </cell>
          <cell r="E41">
            <v>46302</v>
          </cell>
        </row>
        <row r="42">
          <cell r="A42" t="str">
            <v>SDT9F10</v>
          </cell>
          <cell r="B42" t="str">
            <v>SMG14</v>
          </cell>
          <cell r="C42" t="str">
            <v>MANUTENÇÃO</v>
          </cell>
          <cell r="D42" t="str">
            <v>LOCALIZA</v>
          </cell>
          <cell r="E42">
            <v>46167</v>
          </cell>
        </row>
        <row r="43">
          <cell r="A43" t="str">
            <v>SDT9F16</v>
          </cell>
          <cell r="B43" t="str">
            <v>SMG14</v>
          </cell>
          <cell r="C43" t="str">
            <v>MANUTENÇÃO / PLACA RESERVA</v>
          </cell>
          <cell r="D43" t="str">
            <v>LOCALIZA</v>
          </cell>
          <cell r="E43">
            <v>46286</v>
          </cell>
        </row>
        <row r="44">
          <cell r="A44" t="str">
            <v>SDT9F32</v>
          </cell>
          <cell r="B44" t="str">
            <v>SMG14</v>
          </cell>
          <cell r="C44" t="str">
            <v>MANUTENÇÃO / PLACA RESERVA</v>
          </cell>
          <cell r="D44" t="str">
            <v>LOCALIZA</v>
          </cell>
          <cell r="E44">
            <v>46281</v>
          </cell>
        </row>
        <row r="45">
          <cell r="A45" t="str">
            <v>SDQ2C14</v>
          </cell>
          <cell r="B45" t="str">
            <v>SRJ8</v>
          </cell>
          <cell r="C45" t="str">
            <v>MANUTENÇÃO</v>
          </cell>
          <cell r="D45" t="str">
            <v>LOCALIZA</v>
          </cell>
          <cell r="E45">
            <v>46299</v>
          </cell>
        </row>
        <row r="46">
          <cell r="A46" t="str">
            <v>SDQ2C15</v>
          </cell>
          <cell r="B46" t="str">
            <v>SRJ8</v>
          </cell>
          <cell r="C46" t="str">
            <v>MANUTENÇÃO</v>
          </cell>
          <cell r="D46" t="str">
            <v>LOCALIZA</v>
          </cell>
          <cell r="E46">
            <v>46037</v>
          </cell>
        </row>
        <row r="47">
          <cell r="A47" t="str">
            <v>SDQ2C16</v>
          </cell>
          <cell r="B47" t="str">
            <v>SRJ8</v>
          </cell>
          <cell r="C47" t="str">
            <v>ATIVA</v>
          </cell>
          <cell r="D47" t="str">
            <v>LOCALIZA</v>
          </cell>
          <cell r="E47">
            <v>46308</v>
          </cell>
        </row>
        <row r="48">
          <cell r="A48" t="str">
            <v>SDQ2C31</v>
          </cell>
          <cell r="B48" t="str">
            <v>SRJ8</v>
          </cell>
          <cell r="C48" t="str">
            <v>ATIVA</v>
          </cell>
          <cell r="D48" t="str">
            <v>LOCALIZA</v>
          </cell>
          <cell r="E48">
            <v>46308</v>
          </cell>
        </row>
        <row r="49">
          <cell r="A49" t="str">
            <v>SRS7F11</v>
          </cell>
          <cell r="B49" t="str">
            <v>SRJ7</v>
          </cell>
          <cell r="C49" t="str">
            <v>ATIVA</v>
          </cell>
          <cell r="D49" t="str">
            <v>DELUNA</v>
          </cell>
          <cell r="E49">
            <v>46308</v>
          </cell>
        </row>
        <row r="50">
          <cell r="A50" t="str">
            <v>TDZ7B52</v>
          </cell>
          <cell r="B50" t="str">
            <v>SMG14</v>
          </cell>
          <cell r="C50" t="str">
            <v>ATIVA</v>
          </cell>
          <cell r="D50" t="str">
            <v>VAMOS</v>
          </cell>
          <cell r="E50">
            <v>46307</v>
          </cell>
        </row>
        <row r="51">
          <cell r="A51" t="str">
            <v>TDZ7B53</v>
          </cell>
          <cell r="B51" t="str">
            <v>SMG14</v>
          </cell>
          <cell r="C51" t="str">
            <v>MANUTENÇÃO</v>
          </cell>
          <cell r="D51" t="str">
            <v>VAMOS</v>
          </cell>
          <cell r="E51">
            <v>46263</v>
          </cell>
        </row>
        <row r="52">
          <cell r="A52" t="str">
            <v>TDZ7B61</v>
          </cell>
          <cell r="B52" t="str">
            <v>SMG14</v>
          </cell>
          <cell r="C52" t="str">
            <v>ATIVA</v>
          </cell>
          <cell r="D52" t="str">
            <v>VAMOS</v>
          </cell>
          <cell r="E52">
            <v>46307</v>
          </cell>
        </row>
        <row r="53">
          <cell r="A53" t="str">
            <v>TDZ7B42</v>
          </cell>
          <cell r="B53" t="str">
            <v>SMG14</v>
          </cell>
          <cell r="C53" t="str">
            <v>ATIVA</v>
          </cell>
          <cell r="D53" t="str">
            <v>VAMOS</v>
          </cell>
          <cell r="E53">
            <v>46307</v>
          </cell>
        </row>
        <row r="54">
          <cell r="A54" t="str">
            <v>TDZ7B50</v>
          </cell>
          <cell r="B54" t="str">
            <v>SMG14</v>
          </cell>
          <cell r="C54" t="str">
            <v>ATIVA</v>
          </cell>
          <cell r="D54" t="str">
            <v>VAMOS</v>
          </cell>
          <cell r="E54">
            <v>46308</v>
          </cell>
        </row>
        <row r="55">
          <cell r="A55" t="str">
            <v>TDZ7B59</v>
          </cell>
          <cell r="B55" t="str">
            <v>SMG14</v>
          </cell>
          <cell r="C55" t="str">
            <v>ATIVA</v>
          </cell>
          <cell r="D55" t="str">
            <v>VAMOS</v>
          </cell>
          <cell r="E55">
            <v>46307</v>
          </cell>
        </row>
        <row r="56">
          <cell r="A56" t="str">
            <v>TDZ7C34</v>
          </cell>
          <cell r="B56" t="str">
            <v>SMG14</v>
          </cell>
          <cell r="C56" t="str">
            <v>ATIVA</v>
          </cell>
          <cell r="D56" t="str">
            <v>VAMOS</v>
          </cell>
          <cell r="E56">
            <v>46308</v>
          </cell>
        </row>
        <row r="57">
          <cell r="A57" t="str">
            <v>TDZ7C37</v>
          </cell>
          <cell r="B57" t="str">
            <v>SMG14</v>
          </cell>
          <cell r="C57" t="str">
            <v>ATIVA</v>
          </cell>
          <cell r="D57" t="str">
            <v>VAMOS</v>
          </cell>
          <cell r="E57">
            <v>46308</v>
          </cell>
        </row>
        <row r="58">
          <cell r="A58" t="str">
            <v>TDZ7C41</v>
          </cell>
          <cell r="B58" t="str">
            <v>SMG14</v>
          </cell>
          <cell r="C58" t="str">
            <v>ATIVA</v>
          </cell>
          <cell r="D58" t="str">
            <v>VAMOS</v>
          </cell>
          <cell r="E58">
            <v>46308</v>
          </cell>
        </row>
        <row r="59">
          <cell r="A59" t="str">
            <v>TEA5B48</v>
          </cell>
          <cell r="B59" t="str">
            <v>SMG14</v>
          </cell>
          <cell r="C59" t="str">
            <v>ATIVA</v>
          </cell>
          <cell r="D59" t="str">
            <v>VAMOS</v>
          </cell>
          <cell r="E59">
            <v>46308</v>
          </cell>
        </row>
        <row r="60">
          <cell r="A60" t="str">
            <v>TEB5I93</v>
          </cell>
          <cell r="B60" t="str">
            <v>SMG14</v>
          </cell>
          <cell r="C60" t="str">
            <v>MANUTENÇÃO</v>
          </cell>
          <cell r="D60" t="str">
            <v>VAMOS</v>
          </cell>
          <cell r="E60">
            <v>46300</v>
          </cell>
        </row>
        <row r="61">
          <cell r="A61" t="str">
            <v>SSA1J95</v>
          </cell>
          <cell r="B61" t="str">
            <v>SMG3</v>
          </cell>
          <cell r="C61" t="str">
            <v>ATIVA</v>
          </cell>
          <cell r="D61" t="str">
            <v>DELUNA</v>
          </cell>
          <cell r="E61">
            <v>46308</v>
          </cell>
        </row>
        <row r="62">
          <cell r="A62" t="str">
            <v>SSA1J96</v>
          </cell>
          <cell r="B62" t="str">
            <v>SMG3</v>
          </cell>
          <cell r="C62" t="str">
            <v>ATIVA</v>
          </cell>
          <cell r="D62" t="str">
            <v>DELUNA</v>
          </cell>
          <cell r="E62">
            <v>46308</v>
          </cell>
        </row>
        <row r="63">
          <cell r="A63" t="str">
            <v>SSA1J98</v>
          </cell>
          <cell r="B63" t="str">
            <v>SMG3</v>
          </cell>
          <cell r="C63" t="str">
            <v>MANUTENÇÃO</v>
          </cell>
          <cell r="D63" t="str">
            <v>DELUNA</v>
          </cell>
          <cell r="E63">
            <v>46303</v>
          </cell>
        </row>
        <row r="64">
          <cell r="A64" t="str">
            <v>SSA2A03</v>
          </cell>
          <cell r="B64" t="str">
            <v>SMG3</v>
          </cell>
          <cell r="C64" t="str">
            <v>MANUTENÇÃO</v>
          </cell>
          <cell r="D64" t="str">
            <v>DELUNA</v>
          </cell>
          <cell r="E64">
            <v>46285</v>
          </cell>
        </row>
        <row r="65">
          <cell r="A65" t="str">
            <v>SSB4J58</v>
          </cell>
          <cell r="B65" t="str">
            <v>SMG3</v>
          </cell>
          <cell r="C65" t="str">
            <v>ATIVA</v>
          </cell>
          <cell r="D65" t="str">
            <v>DELUNA</v>
          </cell>
          <cell r="E65">
            <v>46308</v>
          </cell>
        </row>
        <row r="66">
          <cell r="A66" t="str">
            <v>SSB4J68</v>
          </cell>
          <cell r="B66" t="str">
            <v>SMG3</v>
          </cell>
          <cell r="C66" t="str">
            <v>ATIVA</v>
          </cell>
          <cell r="D66" t="str">
            <v>DELUNA</v>
          </cell>
          <cell r="E66">
            <v>46307</v>
          </cell>
        </row>
        <row r="67">
          <cell r="A67" t="str">
            <v>SSB4J74</v>
          </cell>
          <cell r="B67" t="str">
            <v>SMG3</v>
          </cell>
          <cell r="C67" t="str">
            <v>ATIVA</v>
          </cell>
          <cell r="D67" t="str">
            <v>DELUNA</v>
          </cell>
          <cell r="E67">
            <v>46308</v>
          </cell>
        </row>
        <row r="68">
          <cell r="A68" t="str">
            <v>SSD1A72</v>
          </cell>
          <cell r="B68" t="str">
            <v>SMG3</v>
          </cell>
          <cell r="C68" t="str">
            <v>ATIVA</v>
          </cell>
          <cell r="D68" t="str">
            <v>DELUNA</v>
          </cell>
          <cell r="E68">
            <v>46308</v>
          </cell>
        </row>
        <row r="69">
          <cell r="A69" t="str">
            <v>TBR6F19</v>
          </cell>
          <cell r="B69" t="str">
            <v>SRJ15</v>
          </cell>
          <cell r="C69" t="str">
            <v>ATIVA</v>
          </cell>
          <cell r="D69" t="str">
            <v>TKS</v>
          </cell>
          <cell r="E69">
            <v>46308</v>
          </cell>
        </row>
        <row r="70">
          <cell r="A70" t="str">
            <v>TTL3J29</v>
          </cell>
          <cell r="B70" t="str">
            <v>SRJ10</v>
          </cell>
          <cell r="C70" t="str">
            <v>ATIVA</v>
          </cell>
          <cell r="D70" t="str">
            <v>DELUNA</v>
          </cell>
          <cell r="E70">
            <v>46308</v>
          </cell>
        </row>
        <row r="71">
          <cell r="A71" t="str">
            <v>TTX1E10</v>
          </cell>
          <cell r="B71" t="str">
            <v>SRJ10</v>
          </cell>
          <cell r="C71" t="str">
            <v>ATIVA</v>
          </cell>
          <cell r="D71" t="str">
            <v>DELUNA</v>
          </cell>
          <cell r="E71">
            <v>46308</v>
          </cell>
        </row>
        <row r="72">
          <cell r="A72" t="str">
            <v>UFY3A87</v>
          </cell>
          <cell r="B72" t="str">
            <v>SRJ10</v>
          </cell>
          <cell r="C72" t="str">
            <v>ATIVA</v>
          </cell>
          <cell r="D72" t="str">
            <v>TKS</v>
          </cell>
          <cell r="E72">
            <v>46308</v>
          </cell>
        </row>
        <row r="73">
          <cell r="A73" t="str">
            <v>SRS7D71</v>
          </cell>
          <cell r="B73" t="str">
            <v>SRJ10</v>
          </cell>
          <cell r="C73" t="str">
            <v>MANUTENÇÃO</v>
          </cell>
          <cell r="D73" t="str">
            <v>DELUNA</v>
          </cell>
          <cell r="E73">
            <v>46292</v>
          </cell>
        </row>
        <row r="74">
          <cell r="A74" t="str">
            <v>SRT1J81</v>
          </cell>
          <cell r="B74" t="str">
            <v>SRJ10</v>
          </cell>
          <cell r="C74" t="str">
            <v>ATIVA</v>
          </cell>
          <cell r="D74" t="str">
            <v>DELUNA</v>
          </cell>
          <cell r="E74">
            <v>46308</v>
          </cell>
        </row>
        <row r="75">
          <cell r="A75" t="str">
            <v>SRT2A11</v>
          </cell>
          <cell r="B75" t="str">
            <v>SRJ10</v>
          </cell>
          <cell r="C75" t="str">
            <v>ATIVA</v>
          </cell>
          <cell r="D75" t="str">
            <v>DELUNA</v>
          </cell>
          <cell r="E75">
            <v>46306</v>
          </cell>
        </row>
        <row r="76">
          <cell r="A76" t="str">
            <v>TTD6H38</v>
          </cell>
          <cell r="B76" t="str">
            <v>SRJ10</v>
          </cell>
          <cell r="C76" t="str">
            <v>ATIVA</v>
          </cell>
          <cell r="D76" t="str">
            <v>DELUNA</v>
          </cell>
          <cell r="E76">
            <v>46308</v>
          </cell>
        </row>
        <row r="77">
          <cell r="A77" t="str">
            <v>TTH0B01</v>
          </cell>
          <cell r="B77" t="str">
            <v>SRJ10</v>
          </cell>
          <cell r="C77" t="str">
            <v>ATIVA</v>
          </cell>
          <cell r="D77" t="str">
            <v>DELUNA</v>
          </cell>
          <cell r="E77">
            <v>46308</v>
          </cell>
        </row>
        <row r="78">
          <cell r="A78" t="str">
            <v>TTJ6D36</v>
          </cell>
          <cell r="B78" t="str">
            <v>SRJ10</v>
          </cell>
          <cell r="C78" t="str">
            <v>ATIVA</v>
          </cell>
          <cell r="D78" t="str">
            <v>DELUNA</v>
          </cell>
          <cell r="E78">
            <v>46307</v>
          </cell>
        </row>
        <row r="79">
          <cell r="A79" t="str">
            <v>TTJ6D38</v>
          </cell>
          <cell r="B79" t="str">
            <v>SRJ10</v>
          </cell>
          <cell r="C79" t="str">
            <v>ATIVA</v>
          </cell>
          <cell r="D79" t="str">
            <v>DELUNA</v>
          </cell>
          <cell r="E79">
            <v>46308</v>
          </cell>
        </row>
        <row r="80">
          <cell r="A80" t="str">
            <v>TTM3G37</v>
          </cell>
          <cell r="B80" t="str">
            <v>SRJ10</v>
          </cell>
          <cell r="C80" t="str">
            <v>ATIVA</v>
          </cell>
          <cell r="D80" t="str">
            <v>DELUNA</v>
          </cell>
          <cell r="E80">
            <v>46308</v>
          </cell>
        </row>
        <row r="81">
          <cell r="A81" t="str">
            <v>TTN3C89</v>
          </cell>
          <cell r="B81" t="str">
            <v>SRJ10</v>
          </cell>
          <cell r="C81" t="str">
            <v>ATIVA</v>
          </cell>
          <cell r="D81" t="str">
            <v>DELUNA</v>
          </cell>
          <cell r="E81">
            <v>46307</v>
          </cell>
        </row>
        <row r="82">
          <cell r="A82" t="str">
            <v>TTN3C92</v>
          </cell>
          <cell r="B82" t="str">
            <v>SRJ10</v>
          </cell>
          <cell r="C82" t="str">
            <v>ATIVA</v>
          </cell>
          <cell r="D82" t="str">
            <v>DELUNA</v>
          </cell>
          <cell r="E82">
            <v>46308</v>
          </cell>
        </row>
        <row r="83">
          <cell r="A83" t="str">
            <v>TUO0A87</v>
          </cell>
          <cell r="B83" t="str">
            <v>SRJ10</v>
          </cell>
          <cell r="C83" t="str">
            <v>ATIVA</v>
          </cell>
          <cell r="D83" t="str">
            <v>DELUNA</v>
          </cell>
          <cell r="E83">
            <v>46308</v>
          </cell>
        </row>
        <row r="84">
          <cell r="A84" t="str">
            <v>TTA3B63</v>
          </cell>
          <cell r="B84" t="str">
            <v>SRJ10</v>
          </cell>
          <cell r="C84" t="str">
            <v>MANUTENÇÃO</v>
          </cell>
          <cell r="D84" t="str">
            <v>DELUNA</v>
          </cell>
          <cell r="E84">
            <v>46301</v>
          </cell>
        </row>
        <row r="85">
          <cell r="A85" t="str">
            <v>TTL3H83</v>
          </cell>
          <cell r="B85" t="str">
            <v>SRJ10</v>
          </cell>
          <cell r="C85" t="str">
            <v>ATIVA</v>
          </cell>
          <cell r="D85" t="str">
            <v>DELUNA</v>
          </cell>
          <cell r="E85">
            <v>46308</v>
          </cell>
        </row>
        <row r="86">
          <cell r="A86" t="str">
            <v>TTN3E52</v>
          </cell>
          <cell r="B86" t="str">
            <v>SRJ10</v>
          </cell>
          <cell r="C86" t="str">
            <v>ATIVA</v>
          </cell>
          <cell r="D86" t="str">
            <v>DELUNA</v>
          </cell>
          <cell r="E86">
            <v>46308</v>
          </cell>
        </row>
        <row r="87">
          <cell r="A87" t="str">
            <v>TBX2B66</v>
          </cell>
          <cell r="B87" t="str">
            <v>SRJ10</v>
          </cell>
          <cell r="C87" t="str">
            <v>ATIVA</v>
          </cell>
          <cell r="D87" t="str">
            <v>TKS</v>
          </cell>
          <cell r="E87">
            <v>46308</v>
          </cell>
        </row>
        <row r="88">
          <cell r="A88" t="str">
            <v>TBX2B75</v>
          </cell>
          <cell r="B88" t="str">
            <v>SRJ10</v>
          </cell>
          <cell r="C88" t="str">
            <v>SEM DRIVER</v>
          </cell>
          <cell r="D88" t="str">
            <v>TKS</v>
          </cell>
          <cell r="E88">
            <v>46274</v>
          </cell>
        </row>
        <row r="89">
          <cell r="A89" t="str">
            <v>TTR1F28</v>
          </cell>
          <cell r="B89" t="str">
            <v>SRJ10</v>
          </cell>
          <cell r="C89" t="str">
            <v>ATIVA</v>
          </cell>
          <cell r="D89" t="str">
            <v>DELUNA</v>
          </cell>
          <cell r="E89">
            <v>46308</v>
          </cell>
        </row>
        <row r="90">
          <cell r="A90" t="str">
            <v>TBR2J34</v>
          </cell>
          <cell r="B90" t="str">
            <v>SRJ15</v>
          </cell>
          <cell r="C90" t="str">
            <v>ATIVA</v>
          </cell>
          <cell r="D90" t="str">
            <v>TKS</v>
          </cell>
          <cell r="E90">
            <v>46308</v>
          </cell>
        </row>
        <row r="91">
          <cell r="A91" t="str">
            <v>TBR2J35</v>
          </cell>
          <cell r="B91" t="str">
            <v>SRJ13</v>
          </cell>
          <cell r="C91" t="str">
            <v>ATIVA</v>
          </cell>
          <cell r="D91" t="str">
            <v>TKS</v>
          </cell>
          <cell r="E91">
            <v>46307</v>
          </cell>
        </row>
        <row r="92">
          <cell r="A92" t="str">
            <v>TUE1E88</v>
          </cell>
          <cell r="B92" t="str">
            <v>SRJ6</v>
          </cell>
          <cell r="C92" t="str">
            <v>ATIVA</v>
          </cell>
          <cell r="D92" t="str">
            <v>DELUNA</v>
          </cell>
          <cell r="E92">
            <v>46308</v>
          </cell>
        </row>
        <row r="93">
          <cell r="A93" t="str">
            <v>TUM1F15</v>
          </cell>
          <cell r="B93" t="str">
            <v>SRJ6</v>
          </cell>
          <cell r="C93" t="str">
            <v>MANUTENÇÃO</v>
          </cell>
          <cell r="D93" t="str">
            <v>DELUNA</v>
          </cell>
          <cell r="E93">
            <v>46282</v>
          </cell>
        </row>
        <row r="94">
          <cell r="A94" t="str">
            <v>SRS7F24</v>
          </cell>
          <cell r="B94" t="str">
            <v>SRJ7</v>
          </cell>
          <cell r="C94" t="str">
            <v>ATIVA</v>
          </cell>
          <cell r="D94" t="str">
            <v>DELUNA</v>
          </cell>
          <cell r="E94">
            <v>46307</v>
          </cell>
        </row>
        <row r="95">
          <cell r="A95" t="str">
            <v>TAN5C79</v>
          </cell>
          <cell r="B95" t="str">
            <v>SRJ8</v>
          </cell>
          <cell r="C95" t="str">
            <v>MANUTENÇÃO</v>
          </cell>
          <cell r="D95" t="str">
            <v>ARVAL</v>
          </cell>
          <cell r="E95">
            <v>46196</v>
          </cell>
        </row>
        <row r="96">
          <cell r="A96" t="str">
            <v>TAN5C85</v>
          </cell>
          <cell r="B96" t="str">
            <v>SRJ8</v>
          </cell>
          <cell r="C96" t="str">
            <v>ATIVA</v>
          </cell>
          <cell r="D96" t="str">
            <v>ARVAL</v>
          </cell>
          <cell r="E96">
            <v>46294</v>
          </cell>
        </row>
        <row r="97">
          <cell r="A97" t="str">
            <v>TAO1A96</v>
          </cell>
          <cell r="B97" t="str">
            <v>SRJ8</v>
          </cell>
          <cell r="C97" t="str">
            <v>ATIVA</v>
          </cell>
          <cell r="D97" t="str">
            <v>ARVAL</v>
          </cell>
          <cell r="E97">
            <v>46308</v>
          </cell>
        </row>
        <row r="98">
          <cell r="A98" t="str">
            <v>TAO1A98</v>
          </cell>
          <cell r="B98" t="str">
            <v>SRJ8</v>
          </cell>
          <cell r="C98" t="str">
            <v>ATIVA</v>
          </cell>
          <cell r="D98" t="str">
            <v>ARVAL</v>
          </cell>
          <cell r="E98">
            <v>46308</v>
          </cell>
        </row>
        <row r="99">
          <cell r="A99" t="str">
            <v>TAO1B30</v>
          </cell>
          <cell r="B99" t="str">
            <v>SRJ8</v>
          </cell>
          <cell r="C99" t="str">
            <v>ATIVA</v>
          </cell>
          <cell r="D99" t="str">
            <v>ARVAL</v>
          </cell>
          <cell r="E99">
            <v>46308</v>
          </cell>
        </row>
        <row r="100">
          <cell r="A100" t="str">
            <v>TAO1B37</v>
          </cell>
          <cell r="B100" t="str">
            <v>SRJ8</v>
          </cell>
          <cell r="C100" t="str">
            <v>MANUTENÇÃO</v>
          </cell>
          <cell r="D100" t="str">
            <v>ARVAL</v>
          </cell>
          <cell r="E100">
            <v>46301</v>
          </cell>
        </row>
        <row r="101">
          <cell r="A101" t="str">
            <v>TAO1B39</v>
          </cell>
          <cell r="B101" t="str">
            <v>SRJ8</v>
          </cell>
          <cell r="C101" t="str">
            <v>ATIVA</v>
          </cell>
          <cell r="D101" t="str">
            <v>ARVAL</v>
          </cell>
          <cell r="E101">
            <v>46308</v>
          </cell>
        </row>
        <row r="102">
          <cell r="A102" t="str">
            <v>TAO1B47</v>
          </cell>
          <cell r="B102" t="str">
            <v>SRJ8</v>
          </cell>
          <cell r="C102" t="str">
            <v>MANUTENÇÃO</v>
          </cell>
          <cell r="D102" t="str">
            <v>ARVAL</v>
          </cell>
          <cell r="E102">
            <v>46207</v>
          </cell>
        </row>
        <row r="103">
          <cell r="A103" t="str">
            <v>TAR8F48</v>
          </cell>
          <cell r="B103" t="str">
            <v>SRJ8</v>
          </cell>
          <cell r="C103" t="str">
            <v>ATIVA</v>
          </cell>
          <cell r="D103" t="str">
            <v>ARVAL</v>
          </cell>
          <cell r="E103">
            <v>46308</v>
          </cell>
        </row>
        <row r="104">
          <cell r="A104" t="str">
            <v>TAS1H24</v>
          </cell>
          <cell r="B104" t="str">
            <v>SRJ8</v>
          </cell>
          <cell r="C104" t="str">
            <v>ATIVA</v>
          </cell>
          <cell r="D104" t="str">
            <v>ARVAL</v>
          </cell>
          <cell r="E104">
            <v>46308</v>
          </cell>
        </row>
        <row r="105">
          <cell r="A105" t="str">
            <v>TAS1H86</v>
          </cell>
          <cell r="B105" t="str">
            <v>SRJ8</v>
          </cell>
          <cell r="C105" t="str">
            <v>ATIVA</v>
          </cell>
          <cell r="D105" t="str">
            <v>ARVAL</v>
          </cell>
          <cell r="E105">
            <v>46308</v>
          </cell>
        </row>
        <row r="106">
          <cell r="A106" t="str">
            <v>TCW4C16</v>
          </cell>
          <cell r="B106" t="str">
            <v>SRJ8</v>
          </cell>
          <cell r="C106" t="str">
            <v>ATIVA</v>
          </cell>
          <cell r="D106" t="str">
            <v>ARVAL</v>
          </cell>
          <cell r="E106">
            <v>46307</v>
          </cell>
        </row>
        <row r="107">
          <cell r="A107" t="str">
            <v>TCW4C25</v>
          </cell>
          <cell r="B107" t="str">
            <v>SRJ8</v>
          </cell>
          <cell r="C107" t="str">
            <v>MANUTENÇÃO</v>
          </cell>
          <cell r="D107" t="str">
            <v>ARVAL</v>
          </cell>
          <cell r="E107">
            <v>46297</v>
          </cell>
        </row>
        <row r="108">
          <cell r="A108" t="str">
            <v>TCW4C36</v>
          </cell>
          <cell r="B108" t="str">
            <v>SRJ8</v>
          </cell>
          <cell r="C108" t="str">
            <v>ATIVA</v>
          </cell>
          <cell r="D108" t="str">
            <v>ARVAL</v>
          </cell>
          <cell r="E108">
            <v>46307</v>
          </cell>
        </row>
        <row r="109">
          <cell r="A109" t="str">
            <v>TDB8H21</v>
          </cell>
          <cell r="B109" t="str">
            <v>SRJ8</v>
          </cell>
          <cell r="C109" t="str">
            <v>ATIVA</v>
          </cell>
          <cell r="D109" t="str">
            <v>ARVAL</v>
          </cell>
          <cell r="E109">
            <v>46307</v>
          </cell>
        </row>
        <row r="110">
          <cell r="A110" t="str">
            <v>TDB8H27</v>
          </cell>
          <cell r="B110" t="str">
            <v>SRJ8</v>
          </cell>
          <cell r="C110" t="str">
            <v>ATIVA</v>
          </cell>
          <cell r="D110" t="str">
            <v>ARVAL</v>
          </cell>
          <cell r="E110">
            <v>46308</v>
          </cell>
        </row>
        <row r="111">
          <cell r="A111" t="str">
            <v>TAT1A57</v>
          </cell>
          <cell r="B111" t="str">
            <v>SRJ8</v>
          </cell>
          <cell r="C111" t="str">
            <v>MANUTENÇÃO</v>
          </cell>
          <cell r="D111" t="str">
            <v>EVM</v>
          </cell>
          <cell r="E111">
            <v>46302</v>
          </cell>
        </row>
        <row r="112">
          <cell r="A112" t="str">
            <v>TAT1A67</v>
          </cell>
          <cell r="B112" t="str">
            <v>SRJ8</v>
          </cell>
          <cell r="C112" t="str">
            <v>MANUTENÇÃO</v>
          </cell>
          <cell r="D112" t="str">
            <v>EVM</v>
          </cell>
          <cell r="E112">
            <v>46177</v>
          </cell>
        </row>
        <row r="113">
          <cell r="A113" t="str">
            <v>TAT1A95</v>
          </cell>
          <cell r="B113" t="str">
            <v>SRJ8</v>
          </cell>
          <cell r="C113" t="str">
            <v>ATIVA</v>
          </cell>
          <cell r="D113" t="str">
            <v>EVM</v>
          </cell>
          <cell r="E113">
            <v>46308</v>
          </cell>
        </row>
        <row r="114">
          <cell r="A114" t="str">
            <v>TAT1B24</v>
          </cell>
          <cell r="B114" t="str">
            <v>SRJ8</v>
          </cell>
          <cell r="C114" t="str">
            <v>MANUTENÇÃO</v>
          </cell>
          <cell r="D114" t="str">
            <v>EVM</v>
          </cell>
          <cell r="E114">
            <v>46299</v>
          </cell>
        </row>
        <row r="115">
          <cell r="A115" t="str">
            <v>TAU3H09</v>
          </cell>
          <cell r="B115" t="str">
            <v>SRJ8</v>
          </cell>
          <cell r="C115" t="str">
            <v>ATIVA</v>
          </cell>
          <cell r="D115" t="str">
            <v>EVM</v>
          </cell>
          <cell r="E115">
            <v>46308</v>
          </cell>
        </row>
        <row r="116">
          <cell r="A116" t="str">
            <v>TBQ3B36</v>
          </cell>
          <cell r="B116" t="str">
            <v>SES1</v>
          </cell>
          <cell r="C116" t="str">
            <v>ATIVA</v>
          </cell>
          <cell r="D116" t="str">
            <v>TKS</v>
          </cell>
          <cell r="E116">
            <v>46308</v>
          </cell>
        </row>
        <row r="117">
          <cell r="A117" t="str">
            <v>TBQ4H52</v>
          </cell>
          <cell r="B117" t="str">
            <v>SES1</v>
          </cell>
          <cell r="C117" t="str">
            <v>ATIVA</v>
          </cell>
          <cell r="D117" t="str">
            <v>TKS</v>
          </cell>
          <cell r="E117">
            <v>46307</v>
          </cell>
        </row>
        <row r="118">
          <cell r="A118" t="str">
            <v>TBQ4H56</v>
          </cell>
          <cell r="B118" t="str">
            <v>SES1</v>
          </cell>
          <cell r="C118" t="str">
            <v>ATIVA</v>
          </cell>
          <cell r="D118" t="str">
            <v>TKS</v>
          </cell>
          <cell r="E118">
            <v>46307</v>
          </cell>
        </row>
        <row r="119">
          <cell r="A119" t="str">
            <v>TBQ4H89</v>
          </cell>
          <cell r="B119" t="str">
            <v>SES1</v>
          </cell>
          <cell r="C119" t="str">
            <v>ATIVA</v>
          </cell>
          <cell r="D119" t="str">
            <v>TKS</v>
          </cell>
          <cell r="E119">
            <v>46308</v>
          </cell>
        </row>
        <row r="120">
          <cell r="A120" t="str">
            <v>TBS8E59</v>
          </cell>
          <cell r="B120" t="str">
            <v>SES1</v>
          </cell>
          <cell r="C120" t="str">
            <v>ATIVA</v>
          </cell>
          <cell r="D120" t="str">
            <v>TKS</v>
          </cell>
          <cell r="E120">
            <v>46308</v>
          </cell>
        </row>
        <row r="121">
          <cell r="A121" t="str">
            <v>TBS8E90</v>
          </cell>
          <cell r="B121" t="str">
            <v>SES1</v>
          </cell>
          <cell r="C121" t="str">
            <v>ATIVA</v>
          </cell>
          <cell r="D121" t="str">
            <v>TKS</v>
          </cell>
          <cell r="E121">
            <v>46308</v>
          </cell>
        </row>
        <row r="122">
          <cell r="A122" t="str">
            <v>TBS8E92</v>
          </cell>
          <cell r="B122" t="str">
            <v>SES1</v>
          </cell>
          <cell r="C122" t="str">
            <v>ATIVA</v>
          </cell>
          <cell r="D122" t="str">
            <v>TKS</v>
          </cell>
          <cell r="E122">
            <v>46308</v>
          </cell>
        </row>
        <row r="123">
          <cell r="A123" t="str">
            <v>TBS8E94</v>
          </cell>
          <cell r="B123" t="str">
            <v>SES1</v>
          </cell>
          <cell r="C123" t="str">
            <v>ATIVA</v>
          </cell>
          <cell r="D123" t="str">
            <v>TKS</v>
          </cell>
          <cell r="E123">
            <v>46308</v>
          </cell>
        </row>
        <row r="124">
          <cell r="A124" t="str">
            <v>TBU8A14</v>
          </cell>
          <cell r="B124" t="str">
            <v>SES1</v>
          </cell>
          <cell r="C124" t="str">
            <v>ATIVA</v>
          </cell>
          <cell r="D124" t="str">
            <v>TKS</v>
          </cell>
          <cell r="E124">
            <v>46308</v>
          </cell>
        </row>
        <row r="125">
          <cell r="A125" t="str">
            <v>TBK4I68</v>
          </cell>
          <cell r="B125" t="str">
            <v>SMG14</v>
          </cell>
          <cell r="C125" t="str">
            <v>ATIVA</v>
          </cell>
          <cell r="D125" t="str">
            <v>ARVAL</v>
          </cell>
          <cell r="E125">
            <v>46308</v>
          </cell>
        </row>
        <row r="126">
          <cell r="A126" t="str">
            <v>TBK9D15</v>
          </cell>
          <cell r="B126" t="str">
            <v>SMG14</v>
          </cell>
          <cell r="C126" t="str">
            <v>ATIVA</v>
          </cell>
          <cell r="D126" t="str">
            <v>ARVAL</v>
          </cell>
          <cell r="E126">
            <v>46308</v>
          </cell>
        </row>
        <row r="127">
          <cell r="A127" t="str">
            <v>TBK9D27</v>
          </cell>
          <cell r="B127" t="str">
            <v>SMG14</v>
          </cell>
          <cell r="C127" t="str">
            <v>ATIVA</v>
          </cell>
          <cell r="D127" t="str">
            <v>ARVAL</v>
          </cell>
          <cell r="E127">
            <v>46307</v>
          </cell>
        </row>
        <row r="128">
          <cell r="A128" t="str">
            <v>TBK9D41</v>
          </cell>
          <cell r="B128" t="str">
            <v>SMG14</v>
          </cell>
          <cell r="C128" t="str">
            <v>ATIVA</v>
          </cell>
          <cell r="D128" t="str">
            <v>ARVAL</v>
          </cell>
          <cell r="E128">
            <v>46308</v>
          </cell>
        </row>
        <row r="129">
          <cell r="A129" t="str">
            <v>TBK9D42</v>
          </cell>
          <cell r="B129" t="str">
            <v>SMG14</v>
          </cell>
          <cell r="C129" t="str">
            <v>ATIVA</v>
          </cell>
          <cell r="D129" t="str">
            <v>ARVAL</v>
          </cell>
          <cell r="E129">
            <v>46308</v>
          </cell>
        </row>
        <row r="130">
          <cell r="A130" t="str">
            <v>TBK9D73</v>
          </cell>
          <cell r="B130" t="str">
            <v>SMG14</v>
          </cell>
          <cell r="C130" t="str">
            <v>MANUTENÇÃO</v>
          </cell>
          <cell r="D130" t="str">
            <v>ARVAL</v>
          </cell>
          <cell r="E130">
            <v>46307</v>
          </cell>
        </row>
        <row r="131">
          <cell r="A131" t="str">
            <v>TBK9E97</v>
          </cell>
          <cell r="B131" t="str">
            <v>SMG14</v>
          </cell>
          <cell r="C131" t="str">
            <v>ATIVA</v>
          </cell>
          <cell r="D131" t="str">
            <v>ARVAL</v>
          </cell>
          <cell r="E131">
            <v>46308</v>
          </cell>
        </row>
        <row r="132">
          <cell r="A132" t="str">
            <v>TBK9F11</v>
          </cell>
          <cell r="B132" t="str">
            <v>SMG14</v>
          </cell>
          <cell r="C132" t="str">
            <v>ATIVA</v>
          </cell>
          <cell r="D132" t="str">
            <v>ARVAL</v>
          </cell>
          <cell r="E132">
            <v>46307</v>
          </cell>
        </row>
        <row r="133">
          <cell r="A133" t="str">
            <v>TBK9F44</v>
          </cell>
          <cell r="B133" t="str">
            <v>SMG14</v>
          </cell>
          <cell r="C133" t="str">
            <v>EM QUARENTENA</v>
          </cell>
          <cell r="D133" t="str">
            <v>ARVAL</v>
          </cell>
          <cell r="E133">
            <v>46091</v>
          </cell>
        </row>
        <row r="134">
          <cell r="A134" t="str">
            <v>TBK9F82</v>
          </cell>
          <cell r="B134" t="str">
            <v>SMG14</v>
          </cell>
          <cell r="C134" t="str">
            <v>ATIVA</v>
          </cell>
          <cell r="D134" t="str">
            <v>ARVAL</v>
          </cell>
          <cell r="E134">
            <v>46307</v>
          </cell>
        </row>
        <row r="135">
          <cell r="A135" t="str">
            <v>TBK9F90</v>
          </cell>
          <cell r="B135" t="str">
            <v>SMG14</v>
          </cell>
          <cell r="C135" t="str">
            <v>ATIVA</v>
          </cell>
          <cell r="D135" t="str">
            <v>ARVAL</v>
          </cell>
          <cell r="E135">
            <v>46308</v>
          </cell>
        </row>
        <row r="136">
          <cell r="A136" t="str">
            <v>TBK4I32</v>
          </cell>
          <cell r="B136" t="str">
            <v>SMG3</v>
          </cell>
          <cell r="C136" t="str">
            <v>ATIVA</v>
          </cell>
          <cell r="D136" t="str">
            <v>ARVAL</v>
          </cell>
          <cell r="E136">
            <v>46306</v>
          </cell>
        </row>
        <row r="137">
          <cell r="A137" t="str">
            <v>TBK9C75</v>
          </cell>
          <cell r="B137" t="str">
            <v>SMG3</v>
          </cell>
          <cell r="C137" t="str">
            <v>ATIVA</v>
          </cell>
          <cell r="D137" t="str">
            <v>ARVAL</v>
          </cell>
          <cell r="E137">
            <v>46308</v>
          </cell>
        </row>
        <row r="138">
          <cell r="A138" t="str">
            <v>TBK9C77</v>
          </cell>
          <cell r="B138" t="str">
            <v>SMG3</v>
          </cell>
          <cell r="C138" t="str">
            <v>ATIVA</v>
          </cell>
          <cell r="D138" t="str">
            <v>ARVAL</v>
          </cell>
          <cell r="E138">
            <v>46307</v>
          </cell>
        </row>
        <row r="139">
          <cell r="A139" t="str">
            <v>TBK9C84</v>
          </cell>
          <cell r="B139" t="str">
            <v>SMG3</v>
          </cell>
          <cell r="C139" t="str">
            <v>ATIVA</v>
          </cell>
          <cell r="D139" t="str">
            <v>ARVAL</v>
          </cell>
          <cell r="E139">
            <v>46308</v>
          </cell>
        </row>
        <row r="140">
          <cell r="A140" t="str">
            <v>TBK9D02</v>
          </cell>
          <cell r="B140" t="str">
            <v>SMG3</v>
          </cell>
          <cell r="C140" t="str">
            <v>ATIVA</v>
          </cell>
          <cell r="D140" t="str">
            <v>ARVAL</v>
          </cell>
          <cell r="E140">
            <v>46308</v>
          </cell>
        </row>
        <row r="141">
          <cell r="A141" t="str">
            <v>TBK9D22</v>
          </cell>
          <cell r="B141" t="str">
            <v>SMG3</v>
          </cell>
          <cell r="C141" t="str">
            <v>ATIVA</v>
          </cell>
          <cell r="D141" t="str">
            <v>ARVAL</v>
          </cell>
          <cell r="E141">
            <v>46308</v>
          </cell>
        </row>
        <row r="142">
          <cell r="A142" t="str">
            <v>TBK9D72</v>
          </cell>
          <cell r="B142" t="str">
            <v>SMG3</v>
          </cell>
          <cell r="C142" t="str">
            <v>ATIVA</v>
          </cell>
          <cell r="D142" t="str">
            <v>ARVAL</v>
          </cell>
          <cell r="E142">
            <v>46308</v>
          </cell>
        </row>
        <row r="143">
          <cell r="A143" t="str">
            <v>TBK9E06</v>
          </cell>
          <cell r="B143" t="str">
            <v>SMG3</v>
          </cell>
          <cell r="C143" t="str">
            <v>ATIVA</v>
          </cell>
          <cell r="D143" t="str">
            <v>ARVAL</v>
          </cell>
          <cell r="E143">
            <v>46308</v>
          </cell>
        </row>
        <row r="144">
          <cell r="A144" t="str">
            <v>TBK9F06</v>
          </cell>
          <cell r="B144" t="str">
            <v>SMG3</v>
          </cell>
          <cell r="C144" t="str">
            <v>ATIVA</v>
          </cell>
          <cell r="D144" t="str">
            <v>ARVAL</v>
          </cell>
          <cell r="E144">
            <v>46308</v>
          </cell>
        </row>
        <row r="145">
          <cell r="A145" t="str">
            <v>TBK9F08</v>
          </cell>
          <cell r="B145" t="str">
            <v>SMG3</v>
          </cell>
          <cell r="C145" t="str">
            <v>ATIVA</v>
          </cell>
          <cell r="D145" t="str">
            <v>ARVAL</v>
          </cell>
          <cell r="E145">
            <v>46308</v>
          </cell>
        </row>
        <row r="146">
          <cell r="A146" t="str">
            <v>TBK9F24</v>
          </cell>
          <cell r="B146" t="str">
            <v>SMG3</v>
          </cell>
          <cell r="C146" t="str">
            <v>ATIVA</v>
          </cell>
          <cell r="D146" t="str">
            <v>ARVAL</v>
          </cell>
          <cell r="E146">
            <v>46308</v>
          </cell>
        </row>
        <row r="147">
          <cell r="A147" t="str">
            <v>TBK9F49</v>
          </cell>
          <cell r="B147" t="str">
            <v>SMG3</v>
          </cell>
          <cell r="C147" t="str">
            <v>MANUTENÇÃO</v>
          </cell>
          <cell r="D147" t="str">
            <v>ARVAL</v>
          </cell>
          <cell r="E147">
            <v>46298</v>
          </cell>
        </row>
        <row r="148">
          <cell r="A148" t="str">
            <v>UAW8I45</v>
          </cell>
          <cell r="B148" t="str">
            <v>SMG3</v>
          </cell>
          <cell r="C148" t="str">
            <v>ATIVA</v>
          </cell>
          <cell r="D148" t="str">
            <v>TKS</v>
          </cell>
          <cell r="E148">
            <v>46308</v>
          </cell>
        </row>
        <row r="149">
          <cell r="A149" t="str">
            <v>UAW8I48</v>
          </cell>
          <cell r="B149" t="str">
            <v>SMG3</v>
          </cell>
          <cell r="C149" t="str">
            <v>ATIVA</v>
          </cell>
          <cell r="D149" t="str">
            <v>TKS</v>
          </cell>
          <cell r="E149">
            <v>46308</v>
          </cell>
        </row>
        <row r="150">
          <cell r="A150" t="str">
            <v>UAW8I53</v>
          </cell>
          <cell r="B150" t="str">
            <v>SMG3</v>
          </cell>
          <cell r="C150" t="str">
            <v>ATIVA</v>
          </cell>
          <cell r="D150" t="str">
            <v>TKS</v>
          </cell>
          <cell r="E150">
            <v>46308</v>
          </cell>
        </row>
        <row r="151">
          <cell r="A151" t="str">
            <v>UAW8I56</v>
          </cell>
          <cell r="B151" t="str">
            <v>SMG3</v>
          </cell>
          <cell r="C151" t="str">
            <v>ATIVA</v>
          </cell>
          <cell r="D151" t="str">
            <v>TKS</v>
          </cell>
          <cell r="E151">
            <v>46307</v>
          </cell>
        </row>
        <row r="152">
          <cell r="A152" t="str">
            <v>UAX2B53</v>
          </cell>
          <cell r="B152" t="str">
            <v>SMG3</v>
          </cell>
          <cell r="C152" t="str">
            <v>ATIVA</v>
          </cell>
          <cell r="D152" t="str">
            <v>TKS</v>
          </cell>
          <cell r="E152">
            <v>46308</v>
          </cell>
        </row>
        <row r="153">
          <cell r="A153" t="str">
            <v>TEI0H81</v>
          </cell>
          <cell r="B153" t="str">
            <v>SMG3</v>
          </cell>
          <cell r="C153" t="str">
            <v>ATIVA</v>
          </cell>
          <cell r="D153" t="str">
            <v>VAMOS</v>
          </cell>
          <cell r="E153">
            <v>46308</v>
          </cell>
        </row>
        <row r="154">
          <cell r="A154" t="str">
            <v>TEI0I01</v>
          </cell>
          <cell r="B154" t="str">
            <v>SMG3</v>
          </cell>
          <cell r="C154" t="str">
            <v>MANUTENÇÃO</v>
          </cell>
          <cell r="D154" t="str">
            <v>VAMOS</v>
          </cell>
          <cell r="E154">
            <v>46302</v>
          </cell>
        </row>
        <row r="155">
          <cell r="A155" t="str">
            <v>TEQ4C51</v>
          </cell>
          <cell r="B155" t="str">
            <v>SMG3</v>
          </cell>
          <cell r="C155" t="str">
            <v>ATIVA</v>
          </cell>
          <cell r="D155" t="str">
            <v>VAMOS</v>
          </cell>
          <cell r="E155">
            <v>46308</v>
          </cell>
        </row>
        <row r="156">
          <cell r="A156" t="str">
            <v>TEV9A36</v>
          </cell>
          <cell r="B156" t="str">
            <v>SMG3</v>
          </cell>
          <cell r="C156" t="str">
            <v>ATIVA</v>
          </cell>
          <cell r="D156" t="str">
            <v>VAMOS</v>
          </cell>
          <cell r="E156">
            <v>46308</v>
          </cell>
        </row>
        <row r="157">
          <cell r="A157" t="str">
            <v>TEV9A41</v>
          </cell>
          <cell r="B157" t="str">
            <v>SMG3</v>
          </cell>
          <cell r="C157" t="str">
            <v>MANUTENÇÃO</v>
          </cell>
          <cell r="D157" t="str">
            <v>VAMOS</v>
          </cell>
          <cell r="E157">
            <v>46262</v>
          </cell>
        </row>
        <row r="158">
          <cell r="A158" t="str">
            <v>TEV9A99</v>
          </cell>
          <cell r="B158" t="str">
            <v>SMG3</v>
          </cell>
          <cell r="C158" t="str">
            <v>ATIVA</v>
          </cell>
          <cell r="D158" t="str">
            <v>VAMOS</v>
          </cell>
          <cell r="E158">
            <v>46308</v>
          </cell>
        </row>
        <row r="159">
          <cell r="A159" t="str">
            <v>TEW5I45</v>
          </cell>
          <cell r="B159" t="str">
            <v>SMG3</v>
          </cell>
          <cell r="C159" t="str">
            <v>ATIVA</v>
          </cell>
          <cell r="D159" t="str">
            <v>VAMOS</v>
          </cell>
          <cell r="E159">
            <v>46308</v>
          </cell>
        </row>
        <row r="160">
          <cell r="A160" t="str">
            <v>TEW5I46</v>
          </cell>
          <cell r="B160" t="str">
            <v>SMG3</v>
          </cell>
          <cell r="C160" t="str">
            <v>MANUTENÇÃO</v>
          </cell>
          <cell r="D160" t="str">
            <v>VAMOS</v>
          </cell>
          <cell r="E160">
            <v>46307</v>
          </cell>
        </row>
        <row r="161">
          <cell r="A161" t="str">
            <v>TEW5I96</v>
          </cell>
          <cell r="B161" t="str">
            <v>SMG3</v>
          </cell>
          <cell r="C161" t="str">
            <v>ATIVA</v>
          </cell>
          <cell r="D161" t="str">
            <v>VAMOS</v>
          </cell>
          <cell r="E161">
            <v>46308</v>
          </cell>
        </row>
        <row r="162">
          <cell r="A162" t="str">
            <v>TEY7J32</v>
          </cell>
          <cell r="B162" t="str">
            <v>SMG3</v>
          </cell>
          <cell r="C162" t="str">
            <v>ATIVA</v>
          </cell>
          <cell r="D162" t="str">
            <v>VAMOS</v>
          </cell>
          <cell r="E162">
            <v>46308</v>
          </cell>
        </row>
        <row r="163">
          <cell r="A163" t="str">
            <v>TEY7J34</v>
          </cell>
          <cell r="B163" t="str">
            <v>SMG3</v>
          </cell>
          <cell r="C163" t="str">
            <v>MANUTENÇÃO</v>
          </cell>
          <cell r="D163" t="str">
            <v>VAMOS</v>
          </cell>
          <cell r="E163">
            <v>46244</v>
          </cell>
        </row>
        <row r="164">
          <cell r="A164" t="str">
            <v>TBR2C79</v>
          </cell>
          <cell r="B164" t="str">
            <v>SRJ1</v>
          </cell>
          <cell r="C164" t="str">
            <v>ATIVA</v>
          </cell>
          <cell r="D164" t="str">
            <v>TKS</v>
          </cell>
          <cell r="E164">
            <v>46308</v>
          </cell>
        </row>
        <row r="165">
          <cell r="A165" t="str">
            <v>TBR2C83</v>
          </cell>
          <cell r="B165" t="str">
            <v>SRJ15</v>
          </cell>
          <cell r="C165" t="str">
            <v>SEM DRIVER</v>
          </cell>
          <cell r="D165" t="str">
            <v>TKS</v>
          </cell>
          <cell r="E165">
            <v>46306</v>
          </cell>
        </row>
        <row r="166">
          <cell r="A166" t="str">
            <v>TBR2C94</v>
          </cell>
          <cell r="B166" t="str">
            <v>SRJ1</v>
          </cell>
          <cell r="C166" t="str">
            <v>ATIVA</v>
          </cell>
          <cell r="D166" t="str">
            <v>TKS</v>
          </cell>
          <cell r="E166">
            <v>46308</v>
          </cell>
        </row>
        <row r="167">
          <cell r="A167" t="str">
            <v>TBR2C95</v>
          </cell>
          <cell r="B167" t="str">
            <v>SRJ15</v>
          </cell>
          <cell r="C167" t="str">
            <v>ATIVA</v>
          </cell>
          <cell r="D167" t="str">
            <v>TKS</v>
          </cell>
          <cell r="E167">
            <v>46307</v>
          </cell>
        </row>
        <row r="168">
          <cell r="A168" t="str">
            <v>TBR4A71</v>
          </cell>
          <cell r="B168" t="str">
            <v>SRJ15</v>
          </cell>
          <cell r="C168" t="str">
            <v>MANUTENÇÃO</v>
          </cell>
          <cell r="D168" t="str">
            <v>TKS</v>
          </cell>
          <cell r="E168">
            <v>46240</v>
          </cell>
        </row>
        <row r="169">
          <cell r="A169" t="str">
            <v>TBR4B05</v>
          </cell>
          <cell r="B169" t="str">
            <v>SRJ15</v>
          </cell>
          <cell r="C169" t="str">
            <v>MANUTENÇÃO</v>
          </cell>
          <cell r="D169" t="str">
            <v>TKS</v>
          </cell>
          <cell r="E169">
            <v>46298</v>
          </cell>
        </row>
        <row r="170">
          <cell r="A170" t="str">
            <v>TBR6F25</v>
          </cell>
          <cell r="B170" t="str">
            <v>SRJ15</v>
          </cell>
          <cell r="C170" t="str">
            <v>ATIVA</v>
          </cell>
          <cell r="D170" t="str">
            <v>TKS</v>
          </cell>
          <cell r="E170">
            <v>46308</v>
          </cell>
        </row>
        <row r="171">
          <cell r="A171" t="str">
            <v>TBR8I51</v>
          </cell>
          <cell r="B171" t="str">
            <v>SRJ1</v>
          </cell>
          <cell r="C171" t="str">
            <v>SEM DRIVER</v>
          </cell>
          <cell r="D171" t="str">
            <v>TKS</v>
          </cell>
          <cell r="E171">
            <v>46295</v>
          </cell>
        </row>
        <row r="172">
          <cell r="A172" t="str">
            <v>TBW6I39</v>
          </cell>
          <cell r="B172" t="str">
            <v>SRJ1</v>
          </cell>
          <cell r="C172" t="str">
            <v>SEM DRIVER</v>
          </cell>
          <cell r="D172" t="str">
            <v>TKS</v>
          </cell>
          <cell r="E172">
            <v>46304</v>
          </cell>
        </row>
        <row r="173">
          <cell r="A173" t="str">
            <v>TBW6I43</v>
          </cell>
          <cell r="B173" t="str">
            <v>SRJ1</v>
          </cell>
          <cell r="C173" t="str">
            <v>ATIVA</v>
          </cell>
          <cell r="D173" t="str">
            <v>TKS</v>
          </cell>
          <cell r="E173">
            <v>46308</v>
          </cell>
        </row>
        <row r="174">
          <cell r="A174" t="str">
            <v>TTU1G18</v>
          </cell>
          <cell r="B174" t="str">
            <v>SRJ10</v>
          </cell>
          <cell r="C174" t="str">
            <v>ATIVA</v>
          </cell>
          <cell r="D174" t="str">
            <v>DELUNA</v>
          </cell>
          <cell r="E174">
            <v>46308</v>
          </cell>
        </row>
        <row r="175">
          <cell r="A175" t="str">
            <v>SRT1J76</v>
          </cell>
          <cell r="B175" t="str">
            <v>SRJ10</v>
          </cell>
          <cell r="C175" t="str">
            <v>ATIVA</v>
          </cell>
          <cell r="D175" t="str">
            <v>DELUNA</v>
          </cell>
          <cell r="E175">
            <v>46308</v>
          </cell>
        </row>
        <row r="176">
          <cell r="A176" t="str">
            <v>TBX1D75</v>
          </cell>
          <cell r="B176" t="str">
            <v>SRJ10</v>
          </cell>
          <cell r="C176" t="str">
            <v>ATIVA</v>
          </cell>
          <cell r="D176" t="str">
            <v>TKS</v>
          </cell>
          <cell r="E176">
            <v>46308</v>
          </cell>
        </row>
        <row r="177">
          <cell r="A177" t="str">
            <v>TBX1F43</v>
          </cell>
          <cell r="B177" t="str">
            <v>SRJ10</v>
          </cell>
          <cell r="C177" t="str">
            <v>ATIVA</v>
          </cell>
          <cell r="D177" t="str">
            <v>TKS</v>
          </cell>
          <cell r="E177">
            <v>46308</v>
          </cell>
        </row>
        <row r="178">
          <cell r="A178" t="str">
            <v>TBX2A34</v>
          </cell>
          <cell r="B178" t="str">
            <v>SRJ10</v>
          </cell>
          <cell r="C178" t="str">
            <v>ATIVA</v>
          </cell>
          <cell r="D178" t="str">
            <v>TKS</v>
          </cell>
          <cell r="E178">
            <v>46308</v>
          </cell>
        </row>
        <row r="179">
          <cell r="A179" t="str">
            <v>TBX2A37</v>
          </cell>
          <cell r="B179" t="str">
            <v>SRJ10</v>
          </cell>
          <cell r="C179" t="str">
            <v>ATIVA</v>
          </cell>
          <cell r="D179" t="str">
            <v>TKS</v>
          </cell>
          <cell r="E179">
            <v>46308</v>
          </cell>
        </row>
        <row r="180">
          <cell r="A180" t="str">
            <v>TBX2A46</v>
          </cell>
          <cell r="B180" t="str">
            <v>SRJ10</v>
          </cell>
          <cell r="C180" t="str">
            <v>ATIVA</v>
          </cell>
          <cell r="D180" t="str">
            <v>TKS</v>
          </cell>
          <cell r="E180">
            <v>46308</v>
          </cell>
        </row>
        <row r="181">
          <cell r="A181" t="str">
            <v>TBX2A66</v>
          </cell>
          <cell r="B181" t="str">
            <v>SRJ10</v>
          </cell>
          <cell r="C181" t="str">
            <v>ATIVA</v>
          </cell>
          <cell r="D181" t="str">
            <v>TKS</v>
          </cell>
          <cell r="E181">
            <v>46308</v>
          </cell>
        </row>
        <row r="182">
          <cell r="A182" t="str">
            <v>TBX2A81</v>
          </cell>
          <cell r="B182" t="str">
            <v>SRJ10</v>
          </cell>
          <cell r="C182" t="str">
            <v>ATIVA</v>
          </cell>
          <cell r="D182" t="str">
            <v>TKS</v>
          </cell>
          <cell r="E182">
            <v>46308</v>
          </cell>
        </row>
        <row r="183">
          <cell r="A183" t="str">
            <v>TBX2A84</v>
          </cell>
          <cell r="B183" t="str">
            <v>SRJ10</v>
          </cell>
          <cell r="C183" t="str">
            <v>ATIVA</v>
          </cell>
          <cell r="D183" t="str">
            <v>TKS</v>
          </cell>
          <cell r="E183">
            <v>46308</v>
          </cell>
        </row>
        <row r="184">
          <cell r="A184" t="str">
            <v>TBX2B71</v>
          </cell>
          <cell r="B184" t="str">
            <v>SRJ10</v>
          </cell>
          <cell r="C184" t="str">
            <v>ATIVA</v>
          </cell>
          <cell r="D184" t="str">
            <v>TKS</v>
          </cell>
          <cell r="E184">
            <v>46307</v>
          </cell>
        </row>
        <row r="185">
          <cell r="A185" t="str">
            <v>TBX2E39</v>
          </cell>
          <cell r="B185" t="str">
            <v>SRJ10</v>
          </cell>
          <cell r="C185" t="str">
            <v>ATIVA</v>
          </cell>
          <cell r="D185" t="str">
            <v>TKS</v>
          </cell>
          <cell r="E185">
            <v>46308</v>
          </cell>
        </row>
        <row r="186">
          <cell r="A186" t="str">
            <v>TBY2F62</v>
          </cell>
          <cell r="B186" t="str">
            <v>SRJ10</v>
          </cell>
          <cell r="C186" t="str">
            <v>ATIVA</v>
          </cell>
          <cell r="D186" t="str">
            <v>TKS</v>
          </cell>
          <cell r="E186">
            <v>46307</v>
          </cell>
        </row>
        <row r="187">
          <cell r="A187" t="str">
            <v>TBR2C82</v>
          </cell>
          <cell r="B187" t="str">
            <v>SRJ13</v>
          </cell>
          <cell r="C187" t="str">
            <v>ATIVA</v>
          </cell>
          <cell r="D187" t="str">
            <v>TKS</v>
          </cell>
          <cell r="E187">
            <v>46307</v>
          </cell>
        </row>
        <row r="188">
          <cell r="A188" t="str">
            <v>TBR2C93</v>
          </cell>
          <cell r="B188" t="str">
            <v>SRJ15</v>
          </cell>
          <cell r="C188" t="str">
            <v>ATIVA</v>
          </cell>
          <cell r="D188" t="str">
            <v>TKS</v>
          </cell>
          <cell r="E188">
            <v>46308</v>
          </cell>
        </row>
        <row r="189">
          <cell r="A189" t="str">
            <v>TBR8I01</v>
          </cell>
          <cell r="B189" t="str">
            <v>SRJ13</v>
          </cell>
          <cell r="C189" t="str">
            <v>ATIVA</v>
          </cell>
          <cell r="D189" t="str">
            <v>TKS</v>
          </cell>
          <cell r="E189">
            <v>46308</v>
          </cell>
        </row>
        <row r="190">
          <cell r="A190" t="str">
            <v>TBW6I38</v>
          </cell>
          <cell r="B190" t="str">
            <v>SRJ13</v>
          </cell>
          <cell r="C190" t="str">
            <v>ATIVA</v>
          </cell>
          <cell r="D190" t="str">
            <v>TKS</v>
          </cell>
          <cell r="E190">
            <v>46307</v>
          </cell>
        </row>
        <row r="191">
          <cell r="A191" t="str">
            <v>TBW6I45</v>
          </cell>
          <cell r="B191" t="str">
            <v>SRJ15</v>
          </cell>
          <cell r="C191" t="str">
            <v>ATIVA</v>
          </cell>
          <cell r="D191" t="str">
            <v>TKS</v>
          </cell>
          <cell r="E191">
            <v>46308</v>
          </cell>
        </row>
        <row r="192">
          <cell r="A192" t="str">
            <v>TBW6I61</v>
          </cell>
          <cell r="B192" t="str">
            <v>SRJ15</v>
          </cell>
          <cell r="C192" t="str">
            <v>ATIVA</v>
          </cell>
          <cell r="D192" t="str">
            <v>TKS</v>
          </cell>
          <cell r="E192">
            <v>46308</v>
          </cell>
        </row>
        <row r="193">
          <cell r="A193" t="str">
            <v>TBW6I90</v>
          </cell>
          <cell r="B193" t="str">
            <v>SRJ13</v>
          </cell>
          <cell r="C193" t="str">
            <v>ATIVA</v>
          </cell>
          <cell r="D193" t="str">
            <v>TKS</v>
          </cell>
          <cell r="E193">
            <v>46308</v>
          </cell>
        </row>
        <row r="194">
          <cell r="A194" t="str">
            <v>TXT4F98</v>
          </cell>
          <cell r="B194" t="str">
            <v>SRJ8</v>
          </cell>
          <cell r="C194" t="str">
            <v>ATIVA</v>
          </cell>
          <cell r="D194" t="str">
            <v>VAMOS</v>
          </cell>
          <cell r="E194">
            <v>46308</v>
          </cell>
        </row>
        <row r="195">
          <cell r="A195" t="str">
            <v>TBW6I46</v>
          </cell>
          <cell r="B195" t="str">
            <v>SRJ11</v>
          </cell>
          <cell r="C195" t="str">
            <v>ATIVA</v>
          </cell>
          <cell r="D195" t="str">
            <v>TKS</v>
          </cell>
          <cell r="E195">
            <v>46308</v>
          </cell>
        </row>
        <row r="196">
          <cell r="A196" t="str">
            <v>TBW6I74</v>
          </cell>
          <cell r="B196" t="str">
            <v>SRJ11</v>
          </cell>
          <cell r="C196" t="str">
            <v>ATIVA</v>
          </cell>
          <cell r="D196" t="str">
            <v>TKS</v>
          </cell>
          <cell r="E196">
            <v>46308</v>
          </cell>
        </row>
        <row r="197">
          <cell r="A197" t="str">
            <v>TBW6I79</v>
          </cell>
          <cell r="B197" t="str">
            <v>SRJ11</v>
          </cell>
          <cell r="C197" t="str">
            <v>ATIVA</v>
          </cell>
          <cell r="D197" t="str">
            <v>TKS</v>
          </cell>
          <cell r="E197">
            <v>46308</v>
          </cell>
        </row>
        <row r="198">
          <cell r="A198" t="str">
            <v>TBK7B84</v>
          </cell>
          <cell r="B198" t="str">
            <v>SRJ4</v>
          </cell>
          <cell r="C198" t="str">
            <v>ATIVA</v>
          </cell>
          <cell r="D198" t="str">
            <v>TKS</v>
          </cell>
          <cell r="E198">
            <v>46307</v>
          </cell>
        </row>
        <row r="199">
          <cell r="A199" t="str">
            <v>TBK9F96</v>
          </cell>
          <cell r="B199" t="str">
            <v>SRJ7</v>
          </cell>
          <cell r="C199" t="str">
            <v>ATIVA</v>
          </cell>
          <cell r="D199" t="str">
            <v>TKS</v>
          </cell>
          <cell r="E199">
            <v>46307</v>
          </cell>
        </row>
        <row r="200">
          <cell r="A200" t="str">
            <v>TBK9G06</v>
          </cell>
          <cell r="B200" t="str">
            <v>SRJ7</v>
          </cell>
          <cell r="C200" t="str">
            <v>MANUTENÇÃO</v>
          </cell>
          <cell r="D200" t="str">
            <v>TKS</v>
          </cell>
          <cell r="E200">
            <v>46307</v>
          </cell>
        </row>
        <row r="201">
          <cell r="A201" t="str">
            <v>TBX1B61</v>
          </cell>
          <cell r="B201" t="str">
            <v>SRJ4</v>
          </cell>
          <cell r="C201" t="str">
            <v>ATIVA</v>
          </cell>
          <cell r="D201" t="str">
            <v>TKS</v>
          </cell>
          <cell r="E201">
            <v>46308</v>
          </cell>
        </row>
        <row r="202">
          <cell r="A202" t="str">
            <v>TBX1D60</v>
          </cell>
          <cell r="B202" t="str">
            <v>SRJ4</v>
          </cell>
          <cell r="C202" t="str">
            <v>MANUTENÇÃO</v>
          </cell>
          <cell r="D202" t="str">
            <v>TKS</v>
          </cell>
          <cell r="E202">
            <v>46298</v>
          </cell>
        </row>
        <row r="203">
          <cell r="A203" t="str">
            <v>TBX1F44</v>
          </cell>
          <cell r="B203" t="str">
            <v>SRJ7</v>
          </cell>
          <cell r="C203" t="str">
            <v>MANUTENÇÃO</v>
          </cell>
          <cell r="D203" t="str">
            <v>TKS</v>
          </cell>
          <cell r="E203">
            <v>46304</v>
          </cell>
        </row>
        <row r="204">
          <cell r="A204" t="str">
            <v>TBX8I41</v>
          </cell>
          <cell r="B204" t="str">
            <v>SRJ7</v>
          </cell>
          <cell r="C204" t="str">
            <v>ATIVA</v>
          </cell>
          <cell r="D204" t="str">
            <v>TKS</v>
          </cell>
          <cell r="E204">
            <v>46308</v>
          </cell>
        </row>
        <row r="205">
          <cell r="A205" t="str">
            <v>TBX9E32</v>
          </cell>
          <cell r="B205" t="str">
            <v>SRJ4</v>
          </cell>
          <cell r="C205" t="str">
            <v>MANUTENÇÃO</v>
          </cell>
          <cell r="D205" t="str">
            <v>TKS</v>
          </cell>
          <cell r="E205">
            <v>46300</v>
          </cell>
        </row>
        <row r="206">
          <cell r="A206" t="str">
            <v>TBZ7G02</v>
          </cell>
          <cell r="B206" t="str">
            <v>SRJ4</v>
          </cell>
          <cell r="C206" t="str">
            <v>ATIVA</v>
          </cell>
          <cell r="D206" t="str">
            <v>TKS</v>
          </cell>
          <cell r="E206">
            <v>46308</v>
          </cell>
        </row>
        <row r="207">
          <cell r="A207" t="str">
            <v>TBZ7G44</v>
          </cell>
          <cell r="B207" t="str">
            <v>SRJ7</v>
          </cell>
          <cell r="C207" t="str">
            <v>MANUTENÇÃO</v>
          </cell>
          <cell r="D207" t="str">
            <v>TKS</v>
          </cell>
          <cell r="E207">
            <v>46307</v>
          </cell>
        </row>
        <row r="208">
          <cell r="A208" t="str">
            <v>TBZ7H39</v>
          </cell>
          <cell r="B208" t="str">
            <v>SRJ4</v>
          </cell>
          <cell r="C208" t="str">
            <v>ATIVA</v>
          </cell>
          <cell r="D208" t="str">
            <v>TKS</v>
          </cell>
          <cell r="E208">
            <v>46308</v>
          </cell>
        </row>
        <row r="209">
          <cell r="A209" t="str">
            <v>TBF2C82</v>
          </cell>
          <cell r="B209" t="str">
            <v>SRJ8</v>
          </cell>
          <cell r="C209" t="str">
            <v>ATIVA</v>
          </cell>
          <cell r="D209" t="str">
            <v>TKS</v>
          </cell>
          <cell r="E209">
            <v>46292</v>
          </cell>
        </row>
        <row r="210">
          <cell r="A210" t="str">
            <v>TBF2D60</v>
          </cell>
          <cell r="B210" t="str">
            <v>SRJ8</v>
          </cell>
          <cell r="C210" t="str">
            <v>ATIVA</v>
          </cell>
          <cell r="D210" t="str">
            <v>TKS</v>
          </cell>
          <cell r="E210">
            <v>46308</v>
          </cell>
        </row>
        <row r="211">
          <cell r="A211" t="str">
            <v>TBS8E55</v>
          </cell>
          <cell r="B211" t="str">
            <v>SRJ8</v>
          </cell>
          <cell r="C211" t="str">
            <v>ATIVA</v>
          </cell>
          <cell r="D211" t="str">
            <v>TKS</v>
          </cell>
          <cell r="E211">
            <v>46308</v>
          </cell>
        </row>
        <row r="212">
          <cell r="A212" t="str">
            <v>TBS8E61</v>
          </cell>
          <cell r="B212" t="str">
            <v>SRJ8</v>
          </cell>
          <cell r="C212" t="str">
            <v>ATIVA</v>
          </cell>
          <cell r="D212" t="str">
            <v>TKS</v>
          </cell>
          <cell r="E212">
            <v>46307</v>
          </cell>
        </row>
        <row r="213">
          <cell r="A213" t="str">
            <v>TBS8E64</v>
          </cell>
          <cell r="B213" t="str">
            <v>SRJ8</v>
          </cell>
          <cell r="C213" t="str">
            <v>ATIVA</v>
          </cell>
          <cell r="D213" t="str">
            <v>TKS</v>
          </cell>
          <cell r="E213">
            <v>46307</v>
          </cell>
        </row>
        <row r="214">
          <cell r="A214" t="str">
            <v>TBS8E80</v>
          </cell>
          <cell r="B214" t="str">
            <v>SRJ8</v>
          </cell>
          <cell r="C214" t="str">
            <v>ATIVA</v>
          </cell>
          <cell r="D214" t="str">
            <v>TKS</v>
          </cell>
          <cell r="E214">
            <v>46307</v>
          </cell>
        </row>
        <row r="215">
          <cell r="A215" t="str">
            <v>TBS8E98</v>
          </cell>
          <cell r="B215" t="str">
            <v>SRJ8</v>
          </cell>
          <cell r="C215" t="str">
            <v>ATIVA</v>
          </cell>
          <cell r="D215" t="str">
            <v>TKS</v>
          </cell>
          <cell r="E215">
            <v>46308</v>
          </cell>
        </row>
        <row r="216">
          <cell r="A216" t="str">
            <v>TBS8E99</v>
          </cell>
          <cell r="B216" t="str">
            <v>SRJ8</v>
          </cell>
          <cell r="C216" t="str">
            <v>ATIVA</v>
          </cell>
          <cell r="D216" t="str">
            <v>TKS</v>
          </cell>
          <cell r="E216">
            <v>46307</v>
          </cell>
        </row>
        <row r="217">
          <cell r="A217" t="str">
            <v>TBX1B64</v>
          </cell>
          <cell r="B217" t="str">
            <v>SRJ8</v>
          </cell>
          <cell r="C217" t="str">
            <v>ATIVA</v>
          </cell>
          <cell r="D217" t="str">
            <v>TKS</v>
          </cell>
          <cell r="E217">
            <v>46308</v>
          </cell>
        </row>
        <row r="218">
          <cell r="A218" t="str">
            <v>TBX2B93</v>
          </cell>
          <cell r="B218" t="str">
            <v>SRJ8</v>
          </cell>
          <cell r="C218" t="str">
            <v>ATIVA</v>
          </cell>
          <cell r="D218" t="str">
            <v>TKS</v>
          </cell>
          <cell r="E218">
            <v>46308</v>
          </cell>
        </row>
        <row r="219">
          <cell r="A219" t="str">
            <v>TBX8C60</v>
          </cell>
          <cell r="B219" t="str">
            <v>SRJ8</v>
          </cell>
          <cell r="C219" t="str">
            <v>ATIVA</v>
          </cell>
          <cell r="D219" t="str">
            <v>TKS</v>
          </cell>
          <cell r="E219">
            <v>46308</v>
          </cell>
        </row>
        <row r="220">
          <cell r="A220" t="str">
            <v>TBX8E15</v>
          </cell>
          <cell r="B220" t="str">
            <v>SRJ8</v>
          </cell>
          <cell r="C220" t="str">
            <v>ATIVA</v>
          </cell>
          <cell r="D220" t="str">
            <v>TKS</v>
          </cell>
          <cell r="E220">
            <v>46307</v>
          </cell>
        </row>
        <row r="221">
          <cell r="A221" t="str">
            <v>TBX8I51</v>
          </cell>
          <cell r="B221" t="str">
            <v>SRJ8</v>
          </cell>
          <cell r="C221" t="str">
            <v>ATIVA</v>
          </cell>
          <cell r="D221" t="str">
            <v>TKS</v>
          </cell>
          <cell r="E221">
            <v>46306</v>
          </cell>
        </row>
        <row r="222">
          <cell r="A222" t="str">
            <v>TBX8I52</v>
          </cell>
          <cell r="B222" t="str">
            <v>SRJ8</v>
          </cell>
          <cell r="C222" t="str">
            <v>ATIVA</v>
          </cell>
          <cell r="D222" t="str">
            <v>TKS</v>
          </cell>
          <cell r="E222">
            <v>46308</v>
          </cell>
        </row>
        <row r="223">
          <cell r="A223" t="str">
            <v>TBX8I56</v>
          </cell>
          <cell r="B223" t="str">
            <v>SRJ8</v>
          </cell>
          <cell r="C223" t="str">
            <v>ATIVA</v>
          </cell>
          <cell r="D223" t="str">
            <v>TKS</v>
          </cell>
          <cell r="E223">
            <v>46307</v>
          </cell>
        </row>
        <row r="224">
          <cell r="A224" t="str">
            <v>TBZ8F73</v>
          </cell>
          <cell r="B224" t="str">
            <v>SRJ8</v>
          </cell>
          <cell r="C224" t="str">
            <v>ATIVA</v>
          </cell>
          <cell r="D224" t="str">
            <v>TKS</v>
          </cell>
          <cell r="E224">
            <v>46307</v>
          </cell>
        </row>
        <row r="225">
          <cell r="A225" t="str">
            <v>UAS8F84</v>
          </cell>
          <cell r="B225" t="str">
            <v>SES1</v>
          </cell>
          <cell r="C225" t="str">
            <v>ATIVA</v>
          </cell>
          <cell r="D225" t="str">
            <v>TKS</v>
          </cell>
          <cell r="E225">
            <v>46308</v>
          </cell>
        </row>
        <row r="226">
          <cell r="A226" t="str">
            <v>UAT5H20</v>
          </cell>
          <cell r="B226" t="str">
            <v>SES1</v>
          </cell>
          <cell r="C226" t="str">
            <v>ATIVA</v>
          </cell>
          <cell r="D226" t="str">
            <v>TKS</v>
          </cell>
          <cell r="E226">
            <v>46308</v>
          </cell>
        </row>
        <row r="227">
          <cell r="A227" t="str">
            <v>UAT5H31</v>
          </cell>
          <cell r="B227" t="str">
            <v>SES1</v>
          </cell>
          <cell r="C227" t="str">
            <v>ATIVA</v>
          </cell>
          <cell r="D227" t="str">
            <v>TKS</v>
          </cell>
          <cell r="E227">
            <v>46308</v>
          </cell>
        </row>
        <row r="228">
          <cell r="A228" t="str">
            <v>TUE6J97</v>
          </cell>
          <cell r="B228" t="str">
            <v>SES1</v>
          </cell>
          <cell r="C228" t="str">
            <v>ATIVA</v>
          </cell>
          <cell r="D228" t="str">
            <v>DELUNA</v>
          </cell>
          <cell r="E228">
            <v>46308</v>
          </cell>
        </row>
        <row r="229">
          <cell r="A229" t="str">
            <v>TUF6J97</v>
          </cell>
          <cell r="B229" t="str">
            <v>SES1</v>
          </cell>
          <cell r="C229" t="str">
            <v>ATIVA</v>
          </cell>
          <cell r="D229" t="str">
            <v>DELUNA</v>
          </cell>
          <cell r="E229">
            <v>46308</v>
          </cell>
        </row>
        <row r="230">
          <cell r="A230" t="str">
            <v>TUF6J98</v>
          </cell>
          <cell r="B230" t="str">
            <v>SES1</v>
          </cell>
          <cell r="C230" t="str">
            <v>ATIVA</v>
          </cell>
          <cell r="D230" t="str">
            <v>DELUNA</v>
          </cell>
          <cell r="E230">
            <v>46308</v>
          </cell>
        </row>
        <row r="231">
          <cell r="A231" t="str">
            <v>TUF6J99</v>
          </cell>
          <cell r="B231" t="str">
            <v>SES1</v>
          </cell>
          <cell r="C231" t="str">
            <v>ATIVA</v>
          </cell>
          <cell r="D231" t="str">
            <v>DELUNA</v>
          </cell>
          <cell r="E231">
            <v>46308</v>
          </cell>
        </row>
        <row r="232">
          <cell r="A232" t="str">
            <v>TZN9E53</v>
          </cell>
          <cell r="B232" t="str">
            <v>SES2</v>
          </cell>
          <cell r="C232" t="str">
            <v>ATIVA</v>
          </cell>
          <cell r="D232" t="str">
            <v>LOCALIZA</v>
          </cell>
          <cell r="E232">
            <v>46308</v>
          </cell>
        </row>
        <row r="233">
          <cell r="A233" t="str">
            <v>TZN9E54</v>
          </cell>
          <cell r="B233" t="str">
            <v>SES2</v>
          </cell>
          <cell r="C233" t="str">
            <v>ATIVA</v>
          </cell>
          <cell r="D233" t="str">
            <v>LOCALIZA</v>
          </cell>
          <cell r="E233">
            <v>46308</v>
          </cell>
        </row>
        <row r="234">
          <cell r="A234" t="str">
            <v>TZN9E56</v>
          </cell>
          <cell r="B234" t="str">
            <v>SES2</v>
          </cell>
          <cell r="C234" t="str">
            <v>ATIVA</v>
          </cell>
          <cell r="D234" t="str">
            <v>LOCALIZA</v>
          </cell>
          <cell r="E234">
            <v>46307</v>
          </cell>
        </row>
        <row r="235">
          <cell r="A235" t="str">
            <v>TZN9E41</v>
          </cell>
          <cell r="B235" t="str">
            <v>SES2</v>
          </cell>
          <cell r="C235" t="str">
            <v>MANUTENÇÃO</v>
          </cell>
          <cell r="D235" t="str">
            <v>LOCALIZA</v>
          </cell>
          <cell r="E235">
            <v>46266</v>
          </cell>
        </row>
        <row r="236">
          <cell r="A236" t="str">
            <v>TZN9E46</v>
          </cell>
          <cell r="B236" t="str">
            <v>SES2</v>
          </cell>
          <cell r="C236" t="str">
            <v>ATIVA</v>
          </cell>
          <cell r="D236" t="str">
            <v>LOCALIZA</v>
          </cell>
          <cell r="E236">
            <v>46308</v>
          </cell>
        </row>
        <row r="237">
          <cell r="A237" t="str">
            <v>TZN9E59</v>
          </cell>
          <cell r="B237" t="str">
            <v>SES2</v>
          </cell>
          <cell r="C237" t="str">
            <v>ATIVA</v>
          </cell>
          <cell r="D237" t="str">
            <v>LOCALIZA</v>
          </cell>
          <cell r="E237">
            <v>46308</v>
          </cell>
        </row>
        <row r="238">
          <cell r="A238" t="str">
            <v>TZN9E61</v>
          </cell>
          <cell r="B238" t="str">
            <v>SES2</v>
          </cell>
          <cell r="C238" t="str">
            <v>ATIVA</v>
          </cell>
          <cell r="D238" t="str">
            <v>LOCALIZA</v>
          </cell>
          <cell r="E238">
            <v>46308</v>
          </cell>
        </row>
        <row r="239">
          <cell r="A239" t="str">
            <v>TZN9E44</v>
          </cell>
          <cell r="B239" t="str">
            <v>SES2</v>
          </cell>
          <cell r="C239" t="str">
            <v>ATIVA</v>
          </cell>
          <cell r="D239" t="str">
            <v>LOCALIZA</v>
          </cell>
          <cell r="E239">
            <v>46308</v>
          </cell>
        </row>
        <row r="240">
          <cell r="A240" t="str">
            <v>TZN9E51</v>
          </cell>
          <cell r="B240" t="str">
            <v>SES2</v>
          </cell>
          <cell r="C240" t="str">
            <v>ATIVA</v>
          </cell>
          <cell r="D240" t="str">
            <v>LOCALIZA</v>
          </cell>
          <cell r="E240">
            <v>46308</v>
          </cell>
        </row>
        <row r="241">
          <cell r="A241" t="str">
            <v>TZN9E60</v>
          </cell>
          <cell r="B241" t="str">
            <v>SES2</v>
          </cell>
          <cell r="C241" t="str">
            <v>ATIVA</v>
          </cell>
          <cell r="D241" t="str">
            <v>LOCALIZA</v>
          </cell>
          <cell r="E241">
            <v>46308</v>
          </cell>
        </row>
        <row r="242">
          <cell r="A242" t="str">
            <v>TZN9E66</v>
          </cell>
          <cell r="B242" t="str">
            <v>SES2</v>
          </cell>
          <cell r="C242" t="str">
            <v>ATIVA</v>
          </cell>
          <cell r="D242" t="str">
            <v>LOCALIZA</v>
          </cell>
          <cell r="E242">
            <v>46308</v>
          </cell>
        </row>
        <row r="243">
          <cell r="A243" t="str">
            <v>TZN9E67</v>
          </cell>
          <cell r="B243" t="str">
            <v>SES2</v>
          </cell>
          <cell r="C243" t="str">
            <v>ATIVA</v>
          </cell>
          <cell r="D243" t="str">
            <v>LOCALIZA</v>
          </cell>
          <cell r="E243">
            <v>46308</v>
          </cell>
        </row>
        <row r="244">
          <cell r="A244" t="str">
            <v>TZK7G89</v>
          </cell>
          <cell r="B244" t="str">
            <v>SMG14</v>
          </cell>
          <cell r="C244" t="str">
            <v>ATIVA</v>
          </cell>
          <cell r="D244" t="str">
            <v>LOCALIZA</v>
          </cell>
          <cell r="E244">
            <v>46307</v>
          </cell>
        </row>
        <row r="245">
          <cell r="A245" t="str">
            <v>TZK7G92</v>
          </cell>
          <cell r="B245" t="str">
            <v>SMG14</v>
          </cell>
          <cell r="C245" t="str">
            <v>ATIVA</v>
          </cell>
          <cell r="D245" t="str">
            <v>LOCALIZA</v>
          </cell>
          <cell r="E245">
            <v>46308</v>
          </cell>
        </row>
        <row r="246">
          <cell r="A246" t="str">
            <v>TZK7H02</v>
          </cell>
          <cell r="B246" t="str">
            <v>SMG14</v>
          </cell>
          <cell r="C246" t="str">
            <v>ATIVA</v>
          </cell>
          <cell r="D246" t="str">
            <v>LOCALIZA</v>
          </cell>
          <cell r="E246">
            <v>46307</v>
          </cell>
        </row>
        <row r="247">
          <cell r="A247" t="str">
            <v>TZK7H03</v>
          </cell>
          <cell r="B247" t="str">
            <v>SMG14</v>
          </cell>
          <cell r="C247" t="str">
            <v>ATIVA</v>
          </cell>
          <cell r="D247" t="str">
            <v>LOCALIZA</v>
          </cell>
          <cell r="E247">
            <v>46308</v>
          </cell>
        </row>
        <row r="248">
          <cell r="A248" t="str">
            <v>TZK7G86</v>
          </cell>
          <cell r="B248" t="str">
            <v>SMG14</v>
          </cell>
          <cell r="C248" t="str">
            <v>ATIVA</v>
          </cell>
          <cell r="D248" t="str">
            <v>LOCALIZA</v>
          </cell>
          <cell r="E248">
            <v>46308</v>
          </cell>
        </row>
        <row r="249">
          <cell r="A249" t="str">
            <v>TZK7G88</v>
          </cell>
          <cell r="B249" t="str">
            <v>SMG14</v>
          </cell>
          <cell r="C249" t="str">
            <v>ATIVA</v>
          </cell>
          <cell r="D249" t="str">
            <v>LOCALIZA</v>
          </cell>
          <cell r="E249">
            <v>46308</v>
          </cell>
        </row>
        <row r="250">
          <cell r="A250" t="str">
            <v>TZK7G93</v>
          </cell>
          <cell r="B250" t="str">
            <v>SMG14</v>
          </cell>
          <cell r="C250" t="str">
            <v>ATIVA</v>
          </cell>
          <cell r="D250" t="str">
            <v>LOCALIZA</v>
          </cell>
          <cell r="E250">
            <v>46308</v>
          </cell>
        </row>
        <row r="251">
          <cell r="A251" t="str">
            <v>TZK7G96</v>
          </cell>
          <cell r="B251" t="str">
            <v>SMG14</v>
          </cell>
          <cell r="C251" t="str">
            <v>ATIVA</v>
          </cell>
          <cell r="D251" t="str">
            <v>LOCALIZA</v>
          </cell>
          <cell r="E251">
            <v>46308</v>
          </cell>
        </row>
        <row r="252">
          <cell r="A252" t="str">
            <v>UDD2F67</v>
          </cell>
          <cell r="B252" t="str">
            <v>SMG3</v>
          </cell>
          <cell r="C252" t="str">
            <v>ATIVA</v>
          </cell>
          <cell r="D252" t="str">
            <v>TKS</v>
          </cell>
          <cell r="E252">
            <v>46308</v>
          </cell>
        </row>
        <row r="253">
          <cell r="A253" t="str">
            <v>UGE6I11</v>
          </cell>
          <cell r="B253" t="str">
            <v>SMG3</v>
          </cell>
          <cell r="C253" t="str">
            <v>ATIVA</v>
          </cell>
          <cell r="D253" t="str">
            <v>TKS</v>
          </cell>
          <cell r="E253">
            <v>46308</v>
          </cell>
        </row>
        <row r="254">
          <cell r="A254" t="str">
            <v>UGQ5E06</v>
          </cell>
          <cell r="B254" t="str">
            <v>SMG3</v>
          </cell>
          <cell r="C254" t="str">
            <v>ATIVA</v>
          </cell>
          <cell r="D254" t="str">
            <v>TKS</v>
          </cell>
          <cell r="E254">
            <v>46308</v>
          </cell>
        </row>
        <row r="255">
          <cell r="A255" t="str">
            <v>TXS8A77</v>
          </cell>
          <cell r="B255" t="str">
            <v>SMG3</v>
          </cell>
          <cell r="C255" t="str">
            <v>MANUTENÇÃO</v>
          </cell>
          <cell r="D255" t="str">
            <v>VAMOS</v>
          </cell>
          <cell r="E255">
            <v>46308</v>
          </cell>
        </row>
        <row r="256">
          <cell r="A256" t="str">
            <v>TXS8A78</v>
          </cell>
          <cell r="B256" t="str">
            <v>SMG3</v>
          </cell>
          <cell r="C256" t="str">
            <v>MANUTENÇÃO</v>
          </cell>
          <cell r="D256" t="str">
            <v>VAMOS</v>
          </cell>
          <cell r="E256">
            <v>46299</v>
          </cell>
        </row>
        <row r="257">
          <cell r="A257" t="str">
            <v>TXS8A80</v>
          </cell>
          <cell r="B257" t="str">
            <v>SMG3</v>
          </cell>
          <cell r="C257" t="str">
            <v>ATIVA</v>
          </cell>
          <cell r="D257" t="str">
            <v>VAMOS</v>
          </cell>
          <cell r="E257">
            <v>46308</v>
          </cell>
        </row>
        <row r="258">
          <cell r="A258" t="str">
            <v>TXS8A86</v>
          </cell>
          <cell r="B258" t="str">
            <v>SMG3</v>
          </cell>
          <cell r="C258" t="str">
            <v>ATIVA</v>
          </cell>
          <cell r="D258" t="str">
            <v>VAMOS</v>
          </cell>
          <cell r="E258">
            <v>46308</v>
          </cell>
        </row>
        <row r="259">
          <cell r="A259" t="str">
            <v>TZK7G21</v>
          </cell>
          <cell r="B259" t="str">
            <v>SRJ1</v>
          </cell>
          <cell r="C259" t="str">
            <v>ATIVA</v>
          </cell>
          <cell r="D259" t="str">
            <v>LOCALIZA</v>
          </cell>
          <cell r="E259">
            <v>46308</v>
          </cell>
        </row>
        <row r="260">
          <cell r="A260" t="str">
            <v>TZK7G23</v>
          </cell>
          <cell r="B260" t="str">
            <v>SRJ1</v>
          </cell>
          <cell r="C260" t="str">
            <v>ATIVA</v>
          </cell>
          <cell r="D260" t="str">
            <v>LOCALIZA</v>
          </cell>
          <cell r="E260">
            <v>46308</v>
          </cell>
        </row>
        <row r="261">
          <cell r="A261" t="str">
            <v>TZK7G25</v>
          </cell>
          <cell r="B261" t="str">
            <v>SRJ1</v>
          </cell>
          <cell r="C261" t="str">
            <v>MANUTENÇÃO / PLACA RESERVA</v>
          </cell>
          <cell r="D261" t="str">
            <v>LOCALIZA</v>
          </cell>
          <cell r="E261">
            <v>46284</v>
          </cell>
        </row>
        <row r="262">
          <cell r="A262" t="str">
            <v>TZK7G32</v>
          </cell>
          <cell r="B262" t="str">
            <v>SRJ1</v>
          </cell>
          <cell r="C262" t="str">
            <v>ATIVA</v>
          </cell>
          <cell r="D262" t="str">
            <v>LOCALIZA</v>
          </cell>
          <cell r="E262">
            <v>46308</v>
          </cell>
        </row>
        <row r="263">
          <cell r="A263" t="str">
            <v>TZK7G41</v>
          </cell>
          <cell r="B263" t="str">
            <v>SRJ1</v>
          </cell>
          <cell r="C263" t="str">
            <v>ATIVA</v>
          </cell>
          <cell r="D263" t="str">
            <v>LOCALIZA</v>
          </cell>
          <cell r="E263">
            <v>46307</v>
          </cell>
        </row>
        <row r="264">
          <cell r="A264" t="str">
            <v>TZK7G42</v>
          </cell>
          <cell r="B264" t="str">
            <v>SRJ1</v>
          </cell>
          <cell r="C264" t="str">
            <v>ATIVA</v>
          </cell>
          <cell r="D264" t="str">
            <v>LOCALIZA</v>
          </cell>
          <cell r="E264">
            <v>46308</v>
          </cell>
        </row>
        <row r="265">
          <cell r="A265" t="str">
            <v>TZK7G43</v>
          </cell>
          <cell r="B265" t="str">
            <v>SRJ1</v>
          </cell>
          <cell r="C265" t="str">
            <v>ATIVA</v>
          </cell>
          <cell r="D265" t="str">
            <v>LOCALIZA</v>
          </cell>
          <cell r="E265">
            <v>46308</v>
          </cell>
        </row>
        <row r="266">
          <cell r="A266" t="str">
            <v>TZK7G04</v>
          </cell>
          <cell r="B266" t="str">
            <v>SRJ1</v>
          </cell>
          <cell r="C266" t="str">
            <v>ATIVA</v>
          </cell>
          <cell r="D266" t="str">
            <v>LOCALIZA</v>
          </cell>
          <cell r="E266">
            <v>46308</v>
          </cell>
        </row>
        <row r="267">
          <cell r="A267" t="str">
            <v>TZK7G05</v>
          </cell>
          <cell r="B267" t="str">
            <v>SRJ1</v>
          </cell>
          <cell r="C267" t="str">
            <v>ATIVA</v>
          </cell>
          <cell r="D267" t="str">
            <v>LOCALIZA</v>
          </cell>
          <cell r="E267">
            <v>46308</v>
          </cell>
        </row>
        <row r="268">
          <cell r="A268" t="str">
            <v>TZK7G07</v>
          </cell>
          <cell r="B268" t="str">
            <v>SRJ1</v>
          </cell>
          <cell r="C268" t="str">
            <v>ATIVA</v>
          </cell>
          <cell r="D268" t="str">
            <v>LOCALIZA</v>
          </cell>
          <cell r="E268">
            <v>46308</v>
          </cell>
        </row>
        <row r="269">
          <cell r="A269" t="str">
            <v>TZK7G09</v>
          </cell>
          <cell r="B269" t="str">
            <v>SRJ1</v>
          </cell>
          <cell r="C269" t="str">
            <v>ATIVA</v>
          </cell>
          <cell r="D269" t="str">
            <v>LOCALIZA</v>
          </cell>
          <cell r="E269">
            <v>46308</v>
          </cell>
        </row>
        <row r="270">
          <cell r="A270" t="str">
            <v>TZK7G10</v>
          </cell>
          <cell r="B270" t="str">
            <v>SRJ1</v>
          </cell>
          <cell r="C270" t="str">
            <v>ATIVA</v>
          </cell>
          <cell r="D270" t="str">
            <v>LOCALIZA</v>
          </cell>
          <cell r="E270">
            <v>46308</v>
          </cell>
        </row>
        <row r="271">
          <cell r="A271" t="str">
            <v>TZK0E28</v>
          </cell>
          <cell r="B271" t="str">
            <v>SRJ10</v>
          </cell>
          <cell r="C271" t="str">
            <v>ATIVA</v>
          </cell>
          <cell r="D271" t="str">
            <v>LOCALIZA</v>
          </cell>
          <cell r="E271">
            <v>46308</v>
          </cell>
        </row>
        <row r="272">
          <cell r="A272" t="str">
            <v>TZK7F76</v>
          </cell>
          <cell r="B272" t="str">
            <v>SRJ10</v>
          </cell>
          <cell r="C272" t="str">
            <v>ATIVA</v>
          </cell>
          <cell r="D272" t="str">
            <v>LOCALIZA</v>
          </cell>
          <cell r="E272">
            <v>46308</v>
          </cell>
        </row>
        <row r="273">
          <cell r="A273" t="str">
            <v>TZK7F79</v>
          </cell>
          <cell r="B273" t="str">
            <v>SRJ10</v>
          </cell>
          <cell r="C273" t="str">
            <v>ATIVA</v>
          </cell>
          <cell r="D273" t="str">
            <v>LOCALIZA</v>
          </cell>
          <cell r="E273">
            <v>46308</v>
          </cell>
        </row>
        <row r="274">
          <cell r="A274" t="str">
            <v>TZK7F80</v>
          </cell>
          <cell r="B274" t="str">
            <v>SRJ10</v>
          </cell>
          <cell r="C274" t="str">
            <v>ATIVA</v>
          </cell>
          <cell r="D274" t="str">
            <v>LOCALIZA</v>
          </cell>
          <cell r="E274">
            <v>46308</v>
          </cell>
        </row>
        <row r="275">
          <cell r="A275" t="str">
            <v>TZK7F81</v>
          </cell>
          <cell r="B275" t="str">
            <v>SRJ10</v>
          </cell>
          <cell r="C275" t="str">
            <v>MANUTENÇÃO</v>
          </cell>
          <cell r="D275" t="str">
            <v>LOCALIZA</v>
          </cell>
          <cell r="E275">
            <v>46307</v>
          </cell>
        </row>
        <row r="276">
          <cell r="A276" t="str">
            <v>TZK7F83</v>
          </cell>
          <cell r="B276" t="str">
            <v>SRJ10</v>
          </cell>
          <cell r="C276" t="str">
            <v>ATIVA</v>
          </cell>
          <cell r="D276" t="str">
            <v>LOCALIZA</v>
          </cell>
          <cell r="E276">
            <v>46308</v>
          </cell>
        </row>
        <row r="277">
          <cell r="A277" t="str">
            <v>TZK7F88</v>
          </cell>
          <cell r="B277" t="str">
            <v>SRJ10</v>
          </cell>
          <cell r="C277" t="str">
            <v>ATIVA</v>
          </cell>
          <cell r="D277" t="str">
            <v>LOCALIZA</v>
          </cell>
          <cell r="E277">
            <v>46308</v>
          </cell>
        </row>
        <row r="278">
          <cell r="A278" t="str">
            <v>TZK7F90</v>
          </cell>
          <cell r="B278" t="str">
            <v>SRJ10</v>
          </cell>
          <cell r="C278" t="str">
            <v>ATIVA</v>
          </cell>
          <cell r="D278" t="str">
            <v>LOCALIZA</v>
          </cell>
          <cell r="E278">
            <v>46308</v>
          </cell>
        </row>
        <row r="279">
          <cell r="A279" t="str">
            <v>TZK7F91</v>
          </cell>
          <cell r="B279" t="str">
            <v>SRJ10</v>
          </cell>
          <cell r="C279" t="str">
            <v>ATIVA</v>
          </cell>
          <cell r="D279" t="str">
            <v>LOCALIZA</v>
          </cell>
          <cell r="E279">
            <v>46308</v>
          </cell>
        </row>
        <row r="280">
          <cell r="A280" t="str">
            <v>TZK7G13</v>
          </cell>
          <cell r="B280" t="str">
            <v>SRJ10</v>
          </cell>
          <cell r="C280" t="str">
            <v>ATIVA</v>
          </cell>
          <cell r="D280" t="str">
            <v>LOCALIZA</v>
          </cell>
          <cell r="E280">
            <v>46307</v>
          </cell>
        </row>
        <row r="281">
          <cell r="A281" t="str">
            <v>TZI2C82</v>
          </cell>
          <cell r="B281" t="str">
            <v>SRJ8</v>
          </cell>
          <cell r="C281" t="str">
            <v>MANUTENÇÃO</v>
          </cell>
          <cell r="D281" t="str">
            <v>LM TRANPORTES</v>
          </cell>
          <cell r="E281">
            <v>46255</v>
          </cell>
        </row>
        <row r="282">
          <cell r="A282" t="str">
            <v>TZI2D97</v>
          </cell>
          <cell r="B282" t="str">
            <v>SRJ8</v>
          </cell>
          <cell r="C282" t="str">
            <v>ATIVA</v>
          </cell>
          <cell r="D282" t="str">
            <v>LM TRANPORTES</v>
          </cell>
          <cell r="E282">
            <v>46308</v>
          </cell>
        </row>
        <row r="283">
          <cell r="A283" t="str">
            <v>TZI3I07</v>
          </cell>
          <cell r="B283" t="str">
            <v>SRJ8</v>
          </cell>
          <cell r="C283" t="str">
            <v>ATIVA</v>
          </cell>
          <cell r="D283" t="str">
            <v>LM TRANPORTES</v>
          </cell>
          <cell r="E283">
            <v>46308</v>
          </cell>
        </row>
        <row r="284">
          <cell r="A284" t="str">
            <v>TZI3I10</v>
          </cell>
          <cell r="B284" t="str">
            <v>SRJ8</v>
          </cell>
          <cell r="C284" t="str">
            <v>ATIVA</v>
          </cell>
          <cell r="D284" t="str">
            <v>LM TRANPORTES</v>
          </cell>
          <cell r="E284">
            <v>46307</v>
          </cell>
        </row>
        <row r="285">
          <cell r="A285" t="str">
            <v>TZI3I17</v>
          </cell>
          <cell r="B285" t="str">
            <v>SRJ8</v>
          </cell>
          <cell r="C285" t="str">
            <v>MANUTENÇÃO</v>
          </cell>
          <cell r="D285" t="str">
            <v>LM TRANPORTES</v>
          </cell>
          <cell r="E285">
            <v>46272</v>
          </cell>
        </row>
        <row r="286">
          <cell r="A286" t="str">
            <v>TZO8I81</v>
          </cell>
          <cell r="B286" t="str">
            <v>SRJ8</v>
          </cell>
          <cell r="C286" t="str">
            <v>ATIVA</v>
          </cell>
          <cell r="D286" t="str">
            <v>LM TRANPORTES</v>
          </cell>
          <cell r="E286">
            <v>46307</v>
          </cell>
        </row>
        <row r="287">
          <cell r="A287" t="str">
            <v>UDC6J75</v>
          </cell>
          <cell r="B287" t="str">
            <v>SRJ8</v>
          </cell>
          <cell r="C287" t="str">
            <v>ATIVA</v>
          </cell>
          <cell r="D287" t="str">
            <v>LM TRANPORTES</v>
          </cell>
          <cell r="E287">
            <v>46308</v>
          </cell>
        </row>
        <row r="288">
          <cell r="A288" t="str">
            <v>UDL1B21</v>
          </cell>
          <cell r="B288" t="str">
            <v>SRJ8</v>
          </cell>
          <cell r="C288" t="str">
            <v>ATIVA</v>
          </cell>
          <cell r="D288" t="str">
            <v>LM TRANPORTES</v>
          </cell>
          <cell r="E288">
            <v>46308</v>
          </cell>
        </row>
        <row r="289">
          <cell r="A289" t="str">
            <v>UFI2I06</v>
          </cell>
          <cell r="B289" t="str">
            <v>SRJ8</v>
          </cell>
          <cell r="C289" t="str">
            <v>ATIVA</v>
          </cell>
          <cell r="D289" t="str">
            <v>LM TRANPORTES</v>
          </cell>
          <cell r="E289">
            <v>46308</v>
          </cell>
        </row>
        <row r="290">
          <cell r="A290" t="str">
            <v>TZI6A44</v>
          </cell>
          <cell r="B290" t="str">
            <v>SRJ8</v>
          </cell>
          <cell r="C290" t="str">
            <v>ATIVA</v>
          </cell>
          <cell r="D290" t="str">
            <v>VAMOS</v>
          </cell>
          <cell r="E290">
            <v>46308</v>
          </cell>
        </row>
        <row r="291">
          <cell r="A291" t="str">
            <v>TZI6A49</v>
          </cell>
          <cell r="B291" t="str">
            <v>SRJ8</v>
          </cell>
          <cell r="C291" t="str">
            <v>ATIVA</v>
          </cell>
          <cell r="D291" t="str">
            <v>VAMOS</v>
          </cell>
          <cell r="E291">
            <v>46308</v>
          </cell>
        </row>
        <row r="292">
          <cell r="A292" t="str">
            <v>TZV1F05</v>
          </cell>
          <cell r="B292" t="str">
            <v>SRJ8</v>
          </cell>
          <cell r="C292" t="str">
            <v>ATIVA</v>
          </cell>
          <cell r="D292" t="str">
            <v>VAMOS</v>
          </cell>
          <cell r="E292">
            <v>46308</v>
          </cell>
        </row>
        <row r="293">
          <cell r="A293" t="str">
            <v>TZV1F01</v>
          </cell>
          <cell r="B293" t="str">
            <v>SRJ8</v>
          </cell>
          <cell r="C293" t="str">
            <v>ATIVA</v>
          </cell>
          <cell r="D293" t="str">
            <v>VAMOS</v>
          </cell>
          <cell r="E293">
            <v>46308</v>
          </cell>
        </row>
        <row r="294">
          <cell r="A294" t="str">
            <v>TZV1E99</v>
          </cell>
          <cell r="B294" t="str">
            <v>SRJ8</v>
          </cell>
          <cell r="C294" t="str">
            <v>ATIVA</v>
          </cell>
          <cell r="D294" t="str">
            <v>VAMOS</v>
          </cell>
          <cell r="E294">
            <v>46308</v>
          </cell>
        </row>
        <row r="295">
          <cell r="A295" t="str">
            <v>TZV1E97</v>
          </cell>
          <cell r="B295" t="str">
            <v>SRJ8</v>
          </cell>
          <cell r="C295" t="str">
            <v>ATIVA</v>
          </cell>
          <cell r="D295" t="str">
            <v>VAMOS</v>
          </cell>
          <cell r="E295">
            <v>46308</v>
          </cell>
        </row>
        <row r="296">
          <cell r="A296" t="str">
            <v>TZV1E89</v>
          </cell>
          <cell r="B296" t="str">
            <v>SRJ8</v>
          </cell>
          <cell r="C296" t="str">
            <v>ATIVA</v>
          </cell>
          <cell r="D296" t="str">
            <v>VAMOS</v>
          </cell>
          <cell r="E296">
            <v>46308</v>
          </cell>
        </row>
        <row r="297">
          <cell r="A297" t="str">
            <v>TZV1E88</v>
          </cell>
          <cell r="B297" t="str">
            <v>SRJ8</v>
          </cell>
          <cell r="C297" t="str">
            <v>ATIVA</v>
          </cell>
          <cell r="D297" t="str">
            <v>VAMOS</v>
          </cell>
          <cell r="E297">
            <v>46308</v>
          </cell>
        </row>
        <row r="298">
          <cell r="A298" t="str">
            <v>TZV1E86</v>
          </cell>
          <cell r="B298" t="str">
            <v>SRJ8</v>
          </cell>
          <cell r="C298" t="str">
            <v>ATIVA</v>
          </cell>
          <cell r="D298" t="str">
            <v>VAMOS</v>
          </cell>
          <cell r="E298">
            <v>46308</v>
          </cell>
        </row>
        <row r="299">
          <cell r="A299" t="str">
            <v>TZP6B28</v>
          </cell>
          <cell r="B299" t="str">
            <v>SRJ4</v>
          </cell>
          <cell r="C299" t="str">
            <v>ATIVA</v>
          </cell>
          <cell r="D299" t="str">
            <v>VAMOS</v>
          </cell>
          <cell r="E299">
            <v>46308</v>
          </cell>
        </row>
        <row r="300">
          <cell r="A300" t="str">
            <v>TZQ7B50</v>
          </cell>
          <cell r="B300" t="str">
            <v>SRJ7</v>
          </cell>
          <cell r="C300" t="str">
            <v>MANUTENÇÃO</v>
          </cell>
          <cell r="D300" t="str">
            <v>VAMOS</v>
          </cell>
          <cell r="E300">
            <v>46298</v>
          </cell>
        </row>
        <row r="301">
          <cell r="A301" t="str">
            <v>TZQ7B51</v>
          </cell>
          <cell r="B301" t="str">
            <v>SRJ7</v>
          </cell>
          <cell r="C301" t="str">
            <v>ATIVA</v>
          </cell>
          <cell r="D301" t="str">
            <v>VAMOS</v>
          </cell>
          <cell r="E301">
            <v>46308</v>
          </cell>
        </row>
        <row r="302">
          <cell r="A302" t="str">
            <v>TZQ7B52</v>
          </cell>
          <cell r="B302" t="str">
            <v>SRJ4</v>
          </cell>
          <cell r="C302" t="str">
            <v>ATIVA</v>
          </cell>
          <cell r="D302" t="str">
            <v>VAMOS</v>
          </cell>
          <cell r="E302">
            <v>46308</v>
          </cell>
        </row>
        <row r="303">
          <cell r="A303" t="str">
            <v>TZQ7B53</v>
          </cell>
          <cell r="B303" t="str">
            <v>SRJ4</v>
          </cell>
          <cell r="C303" t="str">
            <v>ATIVA</v>
          </cell>
          <cell r="D303" t="str">
            <v>VAMOS</v>
          </cell>
          <cell r="E303">
            <v>46308</v>
          </cell>
        </row>
        <row r="304">
          <cell r="A304" t="str">
            <v>TZI0C46</v>
          </cell>
          <cell r="B304" t="str">
            <v>SRJ15</v>
          </cell>
          <cell r="C304" t="str">
            <v>ATIVA</v>
          </cell>
          <cell r="D304" t="str">
            <v>LM TRANPORTES</v>
          </cell>
          <cell r="E304">
            <v>46308</v>
          </cell>
        </row>
        <row r="305">
          <cell r="A305" t="str">
            <v>TJV0G47</v>
          </cell>
          <cell r="B305" t="str">
            <v>SRJ15</v>
          </cell>
          <cell r="C305" t="str">
            <v>ATIVA</v>
          </cell>
          <cell r="D305" t="str">
            <v>LM TRANPORTES</v>
          </cell>
          <cell r="E305">
            <v>46306</v>
          </cell>
        </row>
        <row r="306">
          <cell r="A306" t="str">
            <v>QSW6D63</v>
          </cell>
          <cell r="B306" t="str">
            <v>SRJ15</v>
          </cell>
          <cell r="C306" t="str">
            <v>ATIVA</v>
          </cell>
          <cell r="D306" t="str">
            <v>LM TRANPORTES</v>
          </cell>
          <cell r="E306">
            <v>46308</v>
          </cell>
        </row>
        <row r="307">
          <cell r="A307" t="str">
            <v>TZM0A64</v>
          </cell>
          <cell r="B307" t="str">
            <v>SRJ10</v>
          </cell>
          <cell r="C307" t="str">
            <v>ATIVA</v>
          </cell>
          <cell r="D307" t="str">
            <v>LOCALIZA</v>
          </cell>
          <cell r="E307">
            <v>46308</v>
          </cell>
        </row>
        <row r="308">
          <cell r="A308" t="str">
            <v>UGT4I35</v>
          </cell>
          <cell r="B308" t="str">
            <v>SRJ10</v>
          </cell>
          <cell r="C308" t="str">
            <v>ATIVA</v>
          </cell>
          <cell r="D308" t="str">
            <v>TKS</v>
          </cell>
          <cell r="E308">
            <v>46308</v>
          </cell>
        </row>
        <row r="309">
          <cell r="A309" t="str">
            <v>UFR5D56</v>
          </cell>
          <cell r="B309" t="str">
            <v>SRJ10</v>
          </cell>
          <cell r="C309" t="str">
            <v>ATIVA</v>
          </cell>
          <cell r="D309" t="str">
            <v>TKS</v>
          </cell>
          <cell r="E309">
            <v>46308</v>
          </cell>
        </row>
        <row r="310">
          <cell r="A310" t="str">
            <v>UGD7H04</v>
          </cell>
          <cell r="B310" t="str">
            <v>SRJ10</v>
          </cell>
          <cell r="C310" t="str">
            <v>ATIVA</v>
          </cell>
          <cell r="D310" t="str">
            <v>TKS</v>
          </cell>
          <cell r="E310">
            <v>46308</v>
          </cell>
        </row>
        <row r="311">
          <cell r="A311" t="str">
            <v>UFS2F07</v>
          </cell>
          <cell r="B311" t="str">
            <v>SRJ10</v>
          </cell>
          <cell r="C311" t="str">
            <v>ATIVA</v>
          </cell>
          <cell r="D311" t="str">
            <v>TKS</v>
          </cell>
          <cell r="E311">
            <v>46307</v>
          </cell>
        </row>
        <row r="312">
          <cell r="A312" t="str">
            <v>UDJ5F85</v>
          </cell>
          <cell r="B312" t="str">
            <v>SRJ10</v>
          </cell>
          <cell r="C312" t="str">
            <v>ATIVA</v>
          </cell>
          <cell r="D312" t="str">
            <v>TKS</v>
          </cell>
          <cell r="E312">
            <v>46308</v>
          </cell>
        </row>
        <row r="313">
          <cell r="A313" t="str">
            <v>UCE5B49</v>
          </cell>
          <cell r="B313" t="str">
            <v>SMG3</v>
          </cell>
          <cell r="C313" t="str">
            <v>ATIVA</v>
          </cell>
          <cell r="D313" t="str">
            <v>TKS</v>
          </cell>
          <cell r="E313">
            <v>46308</v>
          </cell>
        </row>
        <row r="314">
          <cell r="A314" t="str">
            <v>UCE5E77</v>
          </cell>
          <cell r="B314" t="str">
            <v>SMG3</v>
          </cell>
          <cell r="C314" t="str">
            <v>ATIVA</v>
          </cell>
          <cell r="D314" t="str">
            <v>TKS</v>
          </cell>
          <cell r="E314">
            <v>46308</v>
          </cell>
        </row>
        <row r="315">
          <cell r="A315" t="str">
            <v>UCE5C45</v>
          </cell>
          <cell r="B315" t="str">
            <v>SMG3</v>
          </cell>
          <cell r="C315" t="str">
            <v>ATIVA</v>
          </cell>
          <cell r="D315" t="str">
            <v>TKS</v>
          </cell>
          <cell r="E315">
            <v>46308</v>
          </cell>
        </row>
        <row r="316">
          <cell r="A316" t="str">
            <v>UAE9E74</v>
          </cell>
          <cell r="B316" t="str">
            <v>SMG3</v>
          </cell>
          <cell r="C316" t="str">
            <v>ATIVA</v>
          </cell>
          <cell r="D316" t="str">
            <v>VAMOS</v>
          </cell>
          <cell r="E316">
            <v>0</v>
          </cell>
        </row>
        <row r="317">
          <cell r="A317" t="str">
            <v>UAE9E78</v>
          </cell>
          <cell r="B317" t="str">
            <v>SMG3</v>
          </cell>
          <cell r="C317" t="str">
            <v>ATIVA</v>
          </cell>
          <cell r="D317" t="str">
            <v>VAMOS</v>
          </cell>
          <cell r="E317">
            <v>46308</v>
          </cell>
        </row>
        <row r="318">
          <cell r="A318" t="str">
            <v>UAF1F90</v>
          </cell>
          <cell r="B318" t="str">
            <v>SMG3</v>
          </cell>
          <cell r="C318" t="str">
            <v>ATIVA</v>
          </cell>
          <cell r="D318" t="str">
            <v>VAMOS</v>
          </cell>
          <cell r="E318">
            <v>46308</v>
          </cell>
        </row>
        <row r="319">
          <cell r="A319" t="str">
            <v>UAF1F91</v>
          </cell>
          <cell r="B319" t="str">
            <v>SMG3</v>
          </cell>
          <cell r="C319" t="str">
            <v>ATIVA</v>
          </cell>
          <cell r="D319" t="str">
            <v>VAMOS</v>
          </cell>
          <cell r="E319">
            <v>46308</v>
          </cell>
        </row>
        <row r="320">
          <cell r="A320" t="str">
            <v>UAE9E89</v>
          </cell>
          <cell r="B320" t="str">
            <v>SMG3</v>
          </cell>
          <cell r="C320" t="str">
            <v>ATIVA</v>
          </cell>
          <cell r="D320" t="str">
            <v>VAMOS</v>
          </cell>
          <cell r="E320">
            <v>46308</v>
          </cell>
        </row>
        <row r="321">
          <cell r="A321" t="str">
            <v>TYD1F90</v>
          </cell>
          <cell r="B321" t="str">
            <v>SRJ7</v>
          </cell>
          <cell r="C321" t="str">
            <v>ATIVA</v>
          </cell>
          <cell r="D321" t="str">
            <v>LOCALIZA</v>
          </cell>
          <cell r="E321">
            <v>46308</v>
          </cell>
        </row>
        <row r="322">
          <cell r="A322" t="str">
            <v>UCM6G40</v>
          </cell>
          <cell r="B322" t="str">
            <v>SES2</v>
          </cell>
          <cell r="C322" t="str">
            <v>MANUTENÇÃO</v>
          </cell>
          <cell r="D322" t="str">
            <v>LM TRANPORTES</v>
          </cell>
          <cell r="E322">
            <v>46288</v>
          </cell>
        </row>
        <row r="323">
          <cell r="A323" t="str">
            <v>UCM7F89</v>
          </cell>
          <cell r="B323" t="str">
            <v>SRJ4</v>
          </cell>
          <cell r="C323" t="str">
            <v>ATIVA</v>
          </cell>
          <cell r="D323" t="str">
            <v>LM TRANPORTES</v>
          </cell>
          <cell r="E323">
            <v>46307</v>
          </cell>
        </row>
        <row r="324">
          <cell r="A324" t="str">
            <v>UCM7F91</v>
          </cell>
          <cell r="B324" t="str">
            <v>SRJ4</v>
          </cell>
          <cell r="C324" t="str">
            <v>ATIVA</v>
          </cell>
          <cell r="D324" t="str">
            <v>LM TRANPORTES</v>
          </cell>
          <cell r="E324">
            <v>46308</v>
          </cell>
        </row>
        <row r="325">
          <cell r="A325" t="str">
            <v>UCM5A93</v>
          </cell>
          <cell r="B325" t="str">
            <v>SRJ4</v>
          </cell>
          <cell r="C325" t="str">
            <v>ATIVA</v>
          </cell>
          <cell r="D325" t="str">
            <v>LM TRANPORTES</v>
          </cell>
          <cell r="E325">
            <v>46308</v>
          </cell>
        </row>
        <row r="326">
          <cell r="A326" t="str">
            <v>UCM6C20</v>
          </cell>
          <cell r="B326" t="str">
            <v>SRJ8</v>
          </cell>
          <cell r="C326" t="str">
            <v>ATIVA</v>
          </cell>
          <cell r="D326" t="str">
            <v>LM TRANPORTES</v>
          </cell>
          <cell r="E326">
            <v>46308</v>
          </cell>
        </row>
        <row r="327">
          <cell r="A327" t="str">
            <v>UAG5E18</v>
          </cell>
          <cell r="B327" t="str">
            <v>SMG3</v>
          </cell>
          <cell r="C327" t="str">
            <v>ATIVA</v>
          </cell>
          <cell r="D327" t="str">
            <v>VAMOS</v>
          </cell>
          <cell r="E327">
            <v>46307</v>
          </cell>
        </row>
        <row r="328">
          <cell r="A328" t="str">
            <v>UAG5E23</v>
          </cell>
          <cell r="B328" t="str">
            <v>SMG3</v>
          </cell>
          <cell r="C328" t="str">
            <v>MANUTENÇÃO</v>
          </cell>
          <cell r="D328" t="str">
            <v>VAMOS</v>
          </cell>
          <cell r="E328">
            <v>46294</v>
          </cell>
        </row>
        <row r="329">
          <cell r="A329" t="str">
            <v>UAG5E44</v>
          </cell>
          <cell r="B329" t="str">
            <v>SMG3</v>
          </cell>
          <cell r="C329" t="str">
            <v>ATIVA</v>
          </cell>
          <cell r="D329" t="str">
            <v>VAMOS</v>
          </cell>
          <cell r="E329">
            <v>46308</v>
          </cell>
        </row>
        <row r="330">
          <cell r="A330" t="str">
            <v>UCN5H68</v>
          </cell>
          <cell r="B330" t="str">
            <v>SRJ4</v>
          </cell>
          <cell r="C330" t="str">
            <v>ATIVA</v>
          </cell>
          <cell r="D330" t="str">
            <v>LM TRANPORTES</v>
          </cell>
          <cell r="E330">
            <v>46307</v>
          </cell>
        </row>
        <row r="331">
          <cell r="A331" t="str">
            <v>UAG5E39</v>
          </cell>
          <cell r="B331" t="str">
            <v>SMG3</v>
          </cell>
          <cell r="C331" t="str">
            <v>MANUTENÇÃO</v>
          </cell>
          <cell r="D331" t="str">
            <v>VAMOS</v>
          </cell>
          <cell r="E331">
            <v>46289</v>
          </cell>
        </row>
        <row r="332">
          <cell r="A332" t="str">
            <v>UAG5E54</v>
          </cell>
          <cell r="B332" t="str">
            <v>SMG3</v>
          </cell>
          <cell r="C332" t="str">
            <v>ATIVA</v>
          </cell>
          <cell r="D332" t="str">
            <v>VAMOS</v>
          </cell>
          <cell r="E332">
            <v>46308</v>
          </cell>
        </row>
        <row r="333">
          <cell r="A333" t="str">
            <v>UCN5H71</v>
          </cell>
          <cell r="B333" t="str">
            <v>SRJ4</v>
          </cell>
          <cell r="C333" t="str">
            <v>ATIVA</v>
          </cell>
          <cell r="D333" t="str">
            <v>LM TRANPORTES</v>
          </cell>
          <cell r="E333">
            <v>46308</v>
          </cell>
        </row>
        <row r="334">
          <cell r="A334" t="str">
            <v xml:space="preserve">UCO0B60 </v>
          </cell>
          <cell r="B334" t="str">
            <v>SES2</v>
          </cell>
          <cell r="C334" t="str">
            <v>MANUTENÇÃO</v>
          </cell>
          <cell r="D334" t="str">
            <v>LM TRANPORTES</v>
          </cell>
          <cell r="E334">
            <v>0</v>
          </cell>
        </row>
        <row r="335">
          <cell r="A335" t="str">
            <v xml:space="preserve">UCN5I89  </v>
          </cell>
          <cell r="B335" t="str">
            <v>SES2</v>
          </cell>
          <cell r="C335" t="str">
            <v>ATIVA</v>
          </cell>
          <cell r="D335" t="str">
            <v>LM TRANPORTES</v>
          </cell>
          <cell r="E335">
            <v>0</v>
          </cell>
        </row>
        <row r="336">
          <cell r="A336" t="str">
            <v xml:space="preserve">UCN5J01 </v>
          </cell>
          <cell r="B336" t="str">
            <v>SES2</v>
          </cell>
          <cell r="C336" t="str">
            <v>ATIVA</v>
          </cell>
          <cell r="D336" t="str">
            <v>LM TRANPORTES</v>
          </cell>
          <cell r="E336">
            <v>0</v>
          </cell>
        </row>
        <row r="337">
          <cell r="A337" t="str">
            <v xml:space="preserve">UCN5I81  </v>
          </cell>
          <cell r="B337" t="str">
            <v>SES2</v>
          </cell>
          <cell r="C337" t="str">
            <v>MANUTENÇÃO</v>
          </cell>
          <cell r="D337" t="str">
            <v>LM TRANPORTES</v>
          </cell>
          <cell r="E337">
            <v>0</v>
          </cell>
        </row>
        <row r="338">
          <cell r="A338" t="str">
            <v>UCM5J76</v>
          </cell>
          <cell r="B338" t="str">
            <v>SMG3</v>
          </cell>
          <cell r="C338" t="str">
            <v>ATIVA</v>
          </cell>
          <cell r="D338" t="str">
            <v>TKS</v>
          </cell>
          <cell r="E338">
            <v>46308</v>
          </cell>
        </row>
        <row r="339">
          <cell r="A339" t="str">
            <v>UCL8B30</v>
          </cell>
          <cell r="B339" t="str">
            <v>SMG3</v>
          </cell>
          <cell r="C339" t="str">
            <v>ATIVA</v>
          </cell>
          <cell r="D339" t="str">
            <v>TKS</v>
          </cell>
          <cell r="E339">
            <v>46307</v>
          </cell>
        </row>
        <row r="340">
          <cell r="A340" t="str">
            <v>UCL7J83</v>
          </cell>
          <cell r="B340" t="str">
            <v>SMG3</v>
          </cell>
          <cell r="C340" t="str">
            <v>ATIVA</v>
          </cell>
          <cell r="D340" t="str">
            <v>TKS</v>
          </cell>
          <cell r="E340">
            <v>46308</v>
          </cell>
        </row>
        <row r="341">
          <cell r="A341" t="str">
            <v>UCL8B10</v>
          </cell>
          <cell r="B341" t="str">
            <v>SMG3</v>
          </cell>
          <cell r="C341" t="str">
            <v>ATIVA</v>
          </cell>
          <cell r="D341" t="str">
            <v>TKS</v>
          </cell>
          <cell r="E341">
            <v>46308</v>
          </cell>
        </row>
        <row r="342">
          <cell r="A342" t="str">
            <v>UCL7J84</v>
          </cell>
          <cell r="B342" t="str">
            <v>SMG3</v>
          </cell>
          <cell r="C342" t="str">
            <v>ATIVA</v>
          </cell>
          <cell r="D342" t="str">
            <v>TKS</v>
          </cell>
          <cell r="E342">
            <v>46307</v>
          </cell>
        </row>
        <row r="343">
          <cell r="A343" t="str">
            <v>UCL8A66</v>
          </cell>
          <cell r="B343" t="str">
            <v>SMG3</v>
          </cell>
          <cell r="C343" t="str">
            <v>ATIVA</v>
          </cell>
          <cell r="D343" t="str">
            <v>TKS</v>
          </cell>
          <cell r="E343">
            <v>46307</v>
          </cell>
        </row>
        <row r="344">
          <cell r="A344" t="str">
            <v>UVL9F73</v>
          </cell>
          <cell r="B344" t="str">
            <v>SRJ4</v>
          </cell>
          <cell r="C344" t="str">
            <v>ATIVA</v>
          </cell>
          <cell r="D344" t="str">
            <v>VAMOS</v>
          </cell>
          <cell r="E344">
            <v>46308</v>
          </cell>
        </row>
        <row r="345">
          <cell r="A345" t="str">
            <v>UCN5I92</v>
          </cell>
          <cell r="B345" t="str">
            <v>SES2</v>
          </cell>
          <cell r="C345" t="str">
            <v>ATIVA</v>
          </cell>
          <cell r="D345" t="str">
            <v>LM TRANPORTES</v>
          </cell>
          <cell r="E345">
            <v>46308</v>
          </cell>
        </row>
        <row r="346">
          <cell r="A346" t="str">
            <v>UVL9F71</v>
          </cell>
          <cell r="B346" t="str">
            <v>SRJ4</v>
          </cell>
          <cell r="C346" t="str">
            <v>ATIVA</v>
          </cell>
          <cell r="D346" t="str">
            <v>VAMOS</v>
          </cell>
          <cell r="E346">
            <v>46308</v>
          </cell>
        </row>
        <row r="347">
          <cell r="A347" t="str">
            <v>UVL9F72</v>
          </cell>
          <cell r="B347" t="str">
            <v>SRJ4</v>
          </cell>
          <cell r="C347" t="str">
            <v>ATIVA</v>
          </cell>
          <cell r="D347" t="str">
            <v>VAMOS</v>
          </cell>
          <cell r="E347">
            <v>46308</v>
          </cell>
        </row>
        <row r="348">
          <cell r="A348" t="str">
            <v>UVL9F75</v>
          </cell>
          <cell r="B348" t="str">
            <v>SRJ4</v>
          </cell>
          <cell r="C348" t="str">
            <v>ATIVA</v>
          </cell>
          <cell r="D348" t="str">
            <v>VAMOS</v>
          </cell>
          <cell r="E348">
            <v>46308</v>
          </cell>
        </row>
        <row r="349">
          <cell r="A349" t="str">
            <v>UVL9F77</v>
          </cell>
          <cell r="B349" t="str">
            <v>SRJ4</v>
          </cell>
          <cell r="C349" t="str">
            <v>ATIVA</v>
          </cell>
          <cell r="D349" t="str">
            <v>VAMOS</v>
          </cell>
          <cell r="E349">
            <v>46308</v>
          </cell>
        </row>
        <row r="350">
          <cell r="A350" t="str">
            <v>TUG6J78</v>
          </cell>
          <cell r="B350" t="str">
            <v>SES1</v>
          </cell>
          <cell r="C350" t="str">
            <v>ATIVA</v>
          </cell>
          <cell r="D350" t="str">
            <v>DELUNA</v>
          </cell>
          <cell r="E350">
            <v>46308</v>
          </cell>
        </row>
        <row r="351">
          <cell r="A351" t="str">
            <v>TUG6J79</v>
          </cell>
          <cell r="B351" t="str">
            <v>SRJ10</v>
          </cell>
          <cell r="C351" t="str">
            <v>ATIVA</v>
          </cell>
          <cell r="D351" t="str">
            <v>DELUNA</v>
          </cell>
          <cell r="E351">
            <v>46308</v>
          </cell>
        </row>
        <row r="352">
          <cell r="A352" t="str">
            <v>TUG6J80</v>
          </cell>
          <cell r="B352" t="str">
            <v>SRJ10</v>
          </cell>
          <cell r="C352" t="str">
            <v>ATIVA</v>
          </cell>
          <cell r="D352" t="str">
            <v>DELUNA</v>
          </cell>
          <cell r="E352">
            <v>46308</v>
          </cell>
        </row>
        <row r="353">
          <cell r="A353" t="str">
            <v>SSE4G34</v>
          </cell>
          <cell r="B353" t="str">
            <v>SRJ10</v>
          </cell>
          <cell r="C353" t="str">
            <v>ATIVA</v>
          </cell>
          <cell r="D353" t="str">
            <v>DELUNA</v>
          </cell>
          <cell r="E353">
            <v>46308</v>
          </cell>
        </row>
        <row r="354">
          <cell r="A354" t="str">
            <v>TTC0H70</v>
          </cell>
          <cell r="B354" t="str">
            <v>SRJ10</v>
          </cell>
          <cell r="C354" t="str">
            <v>ATIVA</v>
          </cell>
          <cell r="D354" t="str">
            <v>DELUNA</v>
          </cell>
          <cell r="E354">
            <v>46307</v>
          </cell>
        </row>
        <row r="355">
          <cell r="A355" t="str">
            <v>UVN4F22</v>
          </cell>
          <cell r="B355" t="str">
            <v>SRJ9</v>
          </cell>
          <cell r="C355" t="str">
            <v>ATIVA</v>
          </cell>
          <cell r="D355" t="str">
            <v>VAMOS</v>
          </cell>
          <cell r="E355">
            <v>46308</v>
          </cell>
        </row>
        <row r="356">
          <cell r="A356" t="str">
            <v>UVN4F19</v>
          </cell>
          <cell r="B356" t="str">
            <v>SRJ9</v>
          </cell>
          <cell r="C356" t="str">
            <v>ATIVA</v>
          </cell>
          <cell r="D356" t="str">
            <v>VAMOS</v>
          </cell>
          <cell r="E356">
            <v>46308</v>
          </cell>
        </row>
        <row r="357">
          <cell r="A357" t="str">
            <v>UVN4F28</v>
          </cell>
          <cell r="B357" t="str">
            <v>SRJ8</v>
          </cell>
          <cell r="C357" t="str">
            <v>ATIVA</v>
          </cell>
          <cell r="D357" t="str">
            <v>VAMOS</v>
          </cell>
          <cell r="E357">
            <v>46308</v>
          </cell>
        </row>
        <row r="358">
          <cell r="A358" t="str">
            <v>UVN4F21</v>
          </cell>
          <cell r="B358" t="str">
            <v>SRJ8</v>
          </cell>
          <cell r="C358" t="str">
            <v>ATIVA</v>
          </cell>
          <cell r="D358" t="str">
            <v>VAMOS</v>
          </cell>
          <cell r="E358">
            <v>46308</v>
          </cell>
        </row>
        <row r="359">
          <cell r="A359" t="str">
            <v>UVN4F23</v>
          </cell>
          <cell r="B359" t="str">
            <v>SRJ9</v>
          </cell>
          <cell r="C359" t="str">
            <v>ATIVA</v>
          </cell>
          <cell r="D359" t="str">
            <v>VAMOS</v>
          </cell>
          <cell r="E359">
            <v>46308</v>
          </cell>
        </row>
        <row r="360">
          <cell r="A360" t="str">
            <v>UCM5G87</v>
          </cell>
          <cell r="B360" t="str">
            <v>SRJ10</v>
          </cell>
          <cell r="C360" t="str">
            <v>SEM DRIVER</v>
          </cell>
          <cell r="D360" t="str">
            <v>TKS</v>
          </cell>
          <cell r="E360">
            <v>0</v>
          </cell>
        </row>
        <row r="361">
          <cell r="A361" t="str">
            <v>UCM5J77</v>
          </cell>
          <cell r="B361" t="str">
            <v>SMG3</v>
          </cell>
          <cell r="C361" t="str">
            <v>ATIVA</v>
          </cell>
          <cell r="D361" t="str">
            <v>TKS</v>
          </cell>
          <cell r="E361">
            <v>46308</v>
          </cell>
        </row>
        <row r="362">
          <cell r="A362" t="str">
            <v>UVW1D21</v>
          </cell>
          <cell r="B362" t="str">
            <v>SRJ9</v>
          </cell>
          <cell r="C362" t="str">
            <v>ATIVA</v>
          </cell>
          <cell r="D362" t="str">
            <v>VAMOS</v>
          </cell>
          <cell r="E362">
            <v>46308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4"/>
  <sheetViews>
    <sheetView tabSelected="1" workbookViewId="0">
      <pane ySplit="1" topLeftCell="A2" activePane="bottomLeft" state="frozen"/>
      <selection pane="bottomLeft" activeCell="Q173" sqref="Q173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46309</v>
      </c>
    </row>
    <row r="2" spans="1:18" x14ac:dyDescent="0.3">
      <c r="A2" t="s">
        <v>9</v>
      </c>
      <c r="B2" s="2">
        <f>VLOOKUP(A2,'[1]15.10'!$A:$E,5,0)</f>
        <v>46308</v>
      </c>
      <c r="C2">
        <f ca="1">B2-$R$1</f>
        <v>-1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f>VLOOKUP(A3,'[1]15.10'!$A:$E,5,0)</f>
        <v>46308</v>
      </c>
      <c r="C3">
        <f t="shared" ref="C3:C66" ca="1" si="0">B3-$R$1</f>
        <v>-1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f>VLOOKUP(A4,'[1]15.10'!$A:$E,5,0)</f>
        <v>46302</v>
      </c>
      <c r="C4">
        <f t="shared" ca="1" si="0"/>
        <v>-7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f>VLOOKUP(A5,'[1]15.10'!$A:$E,5,0)</f>
        <v>46308</v>
      </c>
      <c r="C5">
        <f t="shared" ca="1" si="0"/>
        <v>-1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f>VLOOKUP(A6,'[1]15.10'!$A:$E,5,0)</f>
        <v>46308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f>VLOOKUP(A7,'[1]15.10'!$A:$E,5,0)</f>
        <v>46308</v>
      </c>
      <c r="C7">
        <f t="shared" ca="1" si="0"/>
        <v>-1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f>VLOOKUP(A8,'[1]15.10'!$A:$E,5,0)</f>
        <v>46308</v>
      </c>
      <c r="C8">
        <f t="shared" ca="1" si="0"/>
        <v>-1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f>VLOOKUP(A9,'[1]15.10'!$A:$E,5,0)</f>
        <v>46308</v>
      </c>
      <c r="C9">
        <f t="shared" ca="1" si="0"/>
        <v>-1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f>VLOOKUP(A10,'[1]15.10'!$A:$E,5,0)</f>
        <v>46308</v>
      </c>
      <c r="C10">
        <f t="shared" ca="1" si="0"/>
        <v>-1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f>VLOOKUP(A11,'[1]15.10'!$A:$E,5,0)</f>
        <v>46308</v>
      </c>
      <c r="C11">
        <f t="shared" ca="1" si="0"/>
        <v>-1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f>VLOOKUP(A12,'[1]15.10'!$A:$E,5,0)</f>
        <v>46298</v>
      </c>
      <c r="C12">
        <f t="shared" ca="1" si="0"/>
        <v>-11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f>VLOOKUP(A13,'[1]15.10'!$A:$E,5,0)</f>
        <v>46308</v>
      </c>
      <c r="C13">
        <f t="shared" ca="1" si="0"/>
        <v>-1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f>VLOOKUP(A14,'[1]15.10'!$A:$E,5,0)</f>
        <v>46308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f>VLOOKUP(A15,'[1]15.10'!$A:$E,5,0)</f>
        <v>46307</v>
      </c>
      <c r="C15">
        <f t="shared" ca="1" si="0"/>
        <v>-2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f>VLOOKUP(A16,'[1]15.10'!$A:$E,5,0)</f>
        <v>46308</v>
      </c>
      <c r="C16">
        <f t="shared" ca="1" si="0"/>
        <v>-1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f>VLOOKUP(A17,'[1]15.10'!$A:$E,5,0)</f>
        <v>46308</v>
      </c>
      <c r="C17">
        <f t="shared" ca="1" si="0"/>
        <v>-1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f>VLOOKUP(A18,'[1]15.10'!$A:$E,5,0)</f>
        <v>46303</v>
      </c>
      <c r="C18">
        <f t="shared" ca="1" si="0"/>
        <v>-6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f>VLOOKUP(A19,'[1]15.10'!$A:$E,5,0)</f>
        <v>46308</v>
      </c>
      <c r="C19">
        <f t="shared" ca="1" si="0"/>
        <v>-1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f>VLOOKUP(A20,'[1]15.10'!$A:$E,5,0)</f>
        <v>46307</v>
      </c>
      <c r="C20">
        <f t="shared" ca="1" si="0"/>
        <v>-2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f>VLOOKUP(A21,'[1]15.10'!$A:$E,5,0)</f>
        <v>46308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f>VLOOKUP(A22,'[1]15.10'!$A:$E,5,0)</f>
        <v>46308</v>
      </c>
      <c r="C22">
        <f t="shared" ca="1" si="0"/>
        <v>-1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f>VLOOKUP(A23,'[1]15.10'!$A:$E,5,0)</f>
        <v>46308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f>VLOOKUP(A24,'[1]15.10'!$A:$E,5,0)</f>
        <v>46308</v>
      </c>
      <c r="C24">
        <f t="shared" ca="1" si="0"/>
        <v>-1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f>VLOOKUP(A25,'[1]15.10'!$A:$E,5,0)</f>
        <v>46308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f>VLOOKUP(A26,'[1]15.10'!$A:$E,5,0)</f>
        <v>46308</v>
      </c>
      <c r="C26">
        <f t="shared" ca="1" si="0"/>
        <v>-1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f>VLOOKUP(A27,'[1]15.10'!$A:$E,5,0)</f>
        <v>46308</v>
      </c>
      <c r="C27">
        <f t="shared" ca="1" si="0"/>
        <v>-1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f>VLOOKUP(A28,'[1]15.10'!$A:$E,5,0)</f>
        <v>46305</v>
      </c>
      <c r="C28">
        <f t="shared" ca="1" si="0"/>
        <v>-4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f>VLOOKUP(A29,'[1]15.10'!$A:$E,5,0)</f>
        <v>46308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f>VLOOKUP(A30,'[1]15.10'!$A:$E,5,0)</f>
        <v>46284</v>
      </c>
      <c r="C30">
        <f t="shared" ca="1" si="0"/>
        <v>-25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f>VLOOKUP(A31,'[1]15.10'!$A:$E,5,0)</f>
        <v>46305</v>
      </c>
      <c r="C31">
        <f t="shared" ca="1" si="0"/>
        <v>-4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f>VLOOKUP(A32,'[1]15.10'!$A:$E,5,0)</f>
        <v>46308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f>VLOOKUP(A33,'[1]15.10'!$A:$E,5,0)</f>
        <v>46307</v>
      </c>
      <c r="C33">
        <f t="shared" ca="1" si="0"/>
        <v>-2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f>VLOOKUP(A34,'[1]15.10'!$A:$E,5,0)</f>
        <v>46308</v>
      </c>
      <c r="C34">
        <f t="shared" ca="1" si="0"/>
        <v>-1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f>VLOOKUP(A35,'[1]15.10'!$A:$E,5,0)</f>
        <v>46308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f>VLOOKUP(A36,'[1]15.10'!$A:$E,5,0)</f>
        <v>46304</v>
      </c>
      <c r="C36">
        <f t="shared" ca="1" si="0"/>
        <v>-5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f>VLOOKUP(A37,'[1]15.10'!$A:$E,5,0)</f>
        <v>46266</v>
      </c>
      <c r="C37">
        <f t="shared" ca="1" si="0"/>
        <v>-43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f>VLOOKUP(A38,'[1]15.10'!$A:$E,5,0)</f>
        <v>46308</v>
      </c>
      <c r="C38">
        <f t="shared" ca="1" si="0"/>
        <v>-1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f>VLOOKUP(A39,'[1]15.10'!$A:$E,5,0)</f>
        <v>46308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f>VLOOKUP(A40,'[1]15.10'!$A:$E,5,0)</f>
        <v>46304</v>
      </c>
      <c r="C40">
        <f t="shared" ca="1" si="0"/>
        <v>-5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f>VLOOKUP(A41,'[1]15.10'!$A:$E,5,0)</f>
        <v>46308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f>VLOOKUP(A42,'[1]15.10'!$A:$E,5,0)</f>
        <v>46308</v>
      </c>
      <c r="C42">
        <f t="shared" ca="1" si="0"/>
        <v>-1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f>VLOOKUP(A43,'[1]15.10'!$A:$E,5,0)</f>
        <v>46308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f>VLOOKUP(A44,'[1]15.10'!$A:$E,5,0)</f>
        <v>46308</v>
      </c>
      <c r="C44">
        <f t="shared" ca="1" si="0"/>
        <v>-1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f>VLOOKUP(A45,'[1]15.10'!$A:$E,5,0)</f>
        <v>46308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f>VLOOKUP(A46,'[1]15.10'!$A:$E,5,0)</f>
        <v>46308</v>
      </c>
      <c r="C46">
        <f t="shared" ca="1" si="0"/>
        <v>-1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f>VLOOKUP(A47,'[1]15.10'!$A:$E,5,0)</f>
        <v>46308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f>VLOOKUP(A48,'[1]15.10'!$A:$E,5,0)</f>
        <v>46307</v>
      </c>
      <c r="C48">
        <f t="shared" ca="1" si="0"/>
        <v>-2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f>VLOOKUP(A49,'[1]15.10'!$A:$E,5,0)</f>
        <v>46308</v>
      </c>
      <c r="C49">
        <f t="shared" ca="1" si="0"/>
        <v>-1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f>VLOOKUP(A50,'[1]15.10'!$A:$E,5,0)</f>
        <v>46308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f>VLOOKUP(A51,'[1]15.10'!$A:$E,5,0)</f>
        <v>46308</v>
      </c>
      <c r="C51">
        <f t="shared" ca="1" si="0"/>
        <v>-1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f>VLOOKUP(A52,'[1]15.10'!$A:$E,5,0)</f>
        <v>46308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f>VLOOKUP(A53,'[1]15.10'!$A:$E,5,0)</f>
        <v>46308</v>
      </c>
      <c r="C53">
        <f t="shared" ca="1" si="0"/>
        <v>-1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f>VLOOKUP(A54,'[1]15.10'!$A:$E,5,0)</f>
        <v>46307</v>
      </c>
      <c r="C54">
        <f t="shared" ca="1" si="0"/>
        <v>-2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f>VLOOKUP(A55,'[1]15.10'!$A:$E,5,0)</f>
        <v>46308</v>
      </c>
      <c r="C55">
        <f t="shared" ca="1" si="0"/>
        <v>-1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f>VLOOKUP(A56,'[1]15.10'!$A:$E,5,0)</f>
        <v>46296</v>
      </c>
      <c r="C56">
        <f t="shared" ca="1" si="0"/>
        <v>-13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f>VLOOKUP(A57,'[1]15.10'!$A:$E,5,0)</f>
        <v>46302</v>
      </c>
      <c r="C57">
        <f t="shared" ca="1" si="0"/>
        <v>-7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f>VLOOKUP(A58,'[1]15.10'!$A:$E,5,0)</f>
        <v>46308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f>VLOOKUP(A59,'[1]15.10'!$A:$E,5,0)</f>
        <v>46308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f>VLOOKUP(A60,'[1]15.10'!$A:$E,5,0)</f>
        <v>46308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f>VLOOKUP(A61,'[1]15.10'!$A:$E,5,0)</f>
        <v>46307</v>
      </c>
      <c r="C61">
        <f t="shared" ca="1" si="0"/>
        <v>-2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f>VLOOKUP(A62,'[1]15.10'!$A:$E,5,0)</f>
        <v>46308</v>
      </c>
      <c r="C62">
        <f t="shared" ca="1" si="0"/>
        <v>-1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f>VLOOKUP(A63,'[1]15.10'!$A:$E,5,0)</f>
        <v>46305</v>
      </c>
      <c r="C63">
        <f t="shared" ca="1" si="0"/>
        <v>-4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f>VLOOKUP(A64,'[1]15.10'!$A:$E,5,0)</f>
        <v>46308</v>
      </c>
      <c r="C64">
        <f t="shared" ca="1" si="0"/>
        <v>-1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f>VLOOKUP(A65,'[1]15.10'!$A:$E,5,0)</f>
        <v>46308</v>
      </c>
      <c r="C65">
        <f t="shared" ca="1" si="0"/>
        <v>-1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f>VLOOKUP(A66,'[1]15.10'!$A:$E,5,0)</f>
        <v>46290</v>
      </c>
      <c r="C66">
        <f t="shared" ca="1" si="0"/>
        <v>-19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f>VLOOKUP(A67,'[1]15.10'!$A:$E,5,0)</f>
        <v>46306</v>
      </c>
      <c r="C67">
        <f t="shared" ref="C67:C130" ca="1" si="1">B67-$R$1</f>
        <v>-3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f>VLOOKUP(A68,'[1]15.10'!$A:$E,5,0)</f>
        <v>46255</v>
      </c>
      <c r="C68">
        <f t="shared" ca="1" si="1"/>
        <v>-54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f>VLOOKUP(A69,'[1]15.10'!$A:$E,5,0)</f>
        <v>46308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f>VLOOKUP(A70,'[1]15.10'!$A:$E,5,0)</f>
        <v>46307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f>VLOOKUP(A71,'[1]15.10'!$A:$E,5,0)</f>
        <v>46308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f>VLOOKUP(A72,'[1]15.10'!$A:$E,5,0)</f>
        <v>46272</v>
      </c>
      <c r="C72">
        <f t="shared" ca="1" si="1"/>
        <v>-37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f>VLOOKUP(A73,'[1]15.10'!$A:$E,5,0)</f>
        <v>46308</v>
      </c>
      <c r="C73">
        <f t="shared" ca="1" si="1"/>
        <v>-1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f>VLOOKUP(A74,'[1]15.10'!$A:$E,5,0)</f>
        <v>46308</v>
      </c>
      <c r="C74">
        <f t="shared" ca="1" si="1"/>
        <v>-1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f>VLOOKUP(A75,'[1]15.10'!$A:$E,5,0)</f>
        <v>46307</v>
      </c>
      <c r="C75">
        <f t="shared" ca="1" si="1"/>
        <v>-2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f>VLOOKUP(A76,'[1]15.10'!$A:$E,5,0)</f>
        <v>46308</v>
      </c>
      <c r="C76">
        <f t="shared" ca="1" si="1"/>
        <v>-1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f>VLOOKUP(A77,'[1]15.10'!$A:$E,5,0)</f>
        <v>46307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f>VLOOKUP(A78,'[1]15.10'!$A:$E,5,0)</f>
        <v>46288</v>
      </c>
      <c r="C78">
        <f t="shared" ca="1" si="1"/>
        <v>-21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f>VLOOKUP(A79,'[1]15.10'!$A:$E,5,0)</f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f>VLOOKUP(A80,'[1]15.10'!$A:$E,5,0)</f>
        <v>46308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f>VLOOKUP(A81,'[1]15.10'!$A:$E,5,0)</f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f>VLOOKUP(A82,'[1]15.10'!$A:$E,5,0)</f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f>VLOOKUP(A83,'[1]15.10'!$A:$E,5,0)</f>
        <v>46308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f>VLOOKUP(A84,'[1]15.10'!$A:$E,5,0)</f>
        <v>46308</v>
      </c>
      <c r="C84">
        <f t="shared" ca="1" si="1"/>
        <v>-1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f>VLOOKUP(A85,'[1]15.10'!$A:$E,5,0)</f>
        <v>46307</v>
      </c>
      <c r="C85">
        <f t="shared" ca="1" si="1"/>
        <v>-2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f>VLOOKUP(A86,'[1]15.10'!$A:$E,5,0)</f>
        <v>46308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f>VLOOKUP(A87,'[1]15.10'!$A:$E,5,0)</f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f>VLOOKUP(A88,'[1]15.10'!$A:$E,5,0)</f>
        <v>46308</v>
      </c>
      <c r="C88">
        <f t="shared" ca="1" si="1"/>
        <v>-1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f>VLOOKUP(A89,'[1]15.10'!$A:$E,5,0)</f>
        <v>46308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f>VLOOKUP(A90,'[1]15.10'!$A:$E,5,0)</f>
        <v>46308</v>
      </c>
      <c r="C90">
        <f t="shared" ca="1" si="1"/>
        <v>-1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f>VLOOKUP(A91,'[1]15.10'!$A:$E,5,0)</f>
        <v>46308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f>VLOOKUP(A92,'[1]15.10'!$A:$E,5,0)</f>
        <v>46281</v>
      </c>
      <c r="C92">
        <f t="shared" ca="1" si="1"/>
        <v>-28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f>VLOOKUP(A93,'[1]15.10'!$A:$E,5,0)</f>
        <v>46308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f>VLOOKUP(A94,'[1]15.10'!$A:$E,5,0)</f>
        <v>46308</v>
      </c>
      <c r="C94">
        <f t="shared" ca="1" si="1"/>
        <v>-1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f>VLOOKUP(A95,'[1]15.10'!$A:$E,5,0)</f>
        <v>46308</v>
      </c>
      <c r="C95">
        <f t="shared" ca="1" si="1"/>
        <v>-1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f>VLOOKUP(A96,'[1]15.10'!$A:$E,5,0)</f>
        <v>46307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f>VLOOKUP(A97,'[1]15.10'!$A:$E,5,0)</f>
        <v>46308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f>VLOOKUP(A98,'[1]15.10'!$A:$E,5,0)</f>
        <v>46308</v>
      </c>
      <c r="C98">
        <f t="shared" ca="1" si="1"/>
        <v>-1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f>VLOOKUP(A99,'[1]15.10'!$A:$E,5,0)</f>
        <v>46308</v>
      </c>
      <c r="C99">
        <f t="shared" ca="1" si="1"/>
        <v>-1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f>VLOOKUP(A100,'[1]15.10'!$A:$E,5,0)</f>
        <v>46308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f>VLOOKUP(A101,'[1]15.10'!$A:$E,5,0)</f>
        <v>46308</v>
      </c>
      <c r="C101">
        <f t="shared" ca="1" si="1"/>
        <v>-1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f>VLOOKUP(A102,'[1]15.10'!$A:$E,5,0)</f>
        <v>46308</v>
      </c>
      <c r="C102">
        <f t="shared" ca="1" si="1"/>
        <v>-1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f>VLOOKUP(A103,'[1]15.10'!$A:$E,5,0)</f>
        <v>46308</v>
      </c>
      <c r="C103">
        <f t="shared" ca="1" si="1"/>
        <v>-1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f>VLOOKUP(A104,'[1]15.10'!$A:$E,5,0)</f>
        <v>46307</v>
      </c>
      <c r="C104">
        <f t="shared" ca="1" si="1"/>
        <v>-2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f>VLOOKUP(A105,'[1]15.10'!$A:$E,5,0)</f>
        <v>46308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f>VLOOKUP(A106,'[1]15.10'!$A:$E,5,0)</f>
        <v>46304</v>
      </c>
      <c r="C106">
        <f t="shared" ca="1" si="1"/>
        <v>-5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f>VLOOKUP(A107,'[1]15.10'!$A:$E,5,0)</f>
        <v>46308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f>VLOOKUP(A108,'[1]15.10'!$A:$E,5,0)</f>
        <v>46307</v>
      </c>
      <c r="C108">
        <f t="shared" ca="1" si="1"/>
        <v>-2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f>VLOOKUP(A109,'[1]15.10'!$A:$E,5,0)</f>
        <v>46307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f>VLOOKUP(A110,'[1]15.10'!$A:$E,5,0)</f>
        <v>0</v>
      </c>
      <c r="C110">
        <f t="shared" ca="1" si="1"/>
        <v>-46309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f>VLOOKUP(A111,'[1]15.10'!$A:$E,5,0)</f>
        <v>46308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f>VLOOKUP(A112,'[1]15.10'!$A:$E,5,0)</f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f>VLOOKUP(A113,'[1]15.10'!$A:$E,5,0)</f>
        <v>46308</v>
      </c>
      <c r="C113">
        <f t="shared" ca="1" si="1"/>
        <v>-1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f>VLOOKUP(A114,'[1]15.10'!$A:$E,5,0)</f>
        <v>46308</v>
      </c>
      <c r="C114">
        <f t="shared" ca="1" si="1"/>
        <v>-1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f>VLOOKUP(A115,'[1]15.10'!$A:$E,5,0)</f>
        <v>46308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f>VLOOKUP(A116,'[1]15.10'!$A:$E,5,0)</f>
        <v>46308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f>VLOOKUP(A117,'[1]15.10'!$A:$E,5,0)</f>
        <v>46308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f>VLOOKUP(A118,'[1]15.10'!$A:$E,5,0)</f>
        <v>46308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f>VLOOKUP(A119,'[1]15.10'!$A:$E,5,0)</f>
        <v>46308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f>VLOOKUP(A120,'[1]15.10'!$A:$E,5,0)</f>
        <v>46308</v>
      </c>
      <c r="C120">
        <f t="shared" ca="1" si="1"/>
        <v>-1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f>VLOOKUP(A121,'[1]15.10'!$A:$E,5,0)</f>
        <v>0</v>
      </c>
      <c r="C121">
        <f t="shared" ca="1" si="1"/>
        <v>-46309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/>
    </row>
    <row r="122" spans="1:17" x14ac:dyDescent="0.3">
      <c r="A122" t="s">
        <v>154</v>
      </c>
      <c r="B122" s="2">
        <f>VLOOKUP(A122,'[1]15.10'!$A:$E,5,0)</f>
        <v>46308</v>
      </c>
      <c r="C122">
        <f t="shared" ca="1" si="1"/>
        <v>-1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f>VLOOKUP(A123,'[1]15.10'!$A:$E,5,0)</f>
        <v>46308</v>
      </c>
      <c r="C123">
        <f t="shared" ca="1" si="1"/>
        <v>-1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f>VLOOKUP(A124,'[1]15.10'!$A:$E,5,0)</f>
        <v>46308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f>VLOOKUP(A125,'[1]15.10'!$A:$E,5,0)</f>
        <v>46308</v>
      </c>
      <c r="C125">
        <f t="shared" ca="1" si="1"/>
        <v>-1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f>VLOOKUP(A126,'[1]15.10'!$A:$E,5,0)</f>
        <v>46308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f>VLOOKUP(A127,'[1]15.10'!$A:$E,5,0)</f>
        <v>46308</v>
      </c>
      <c r="C127">
        <f t="shared" ca="1" si="1"/>
        <v>-1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f>VLOOKUP(A128,'[1]15.10'!$A:$E,5,0)</f>
        <v>46308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f>VLOOKUP(A129,'[1]15.10'!$A:$E,5,0)</f>
        <v>46308</v>
      </c>
      <c r="C129">
        <f t="shared" ca="1" si="1"/>
        <v>-1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f>VLOOKUP(A130,'[1]15.10'!$A:$E,5,0)</f>
        <v>46308</v>
      </c>
      <c r="C130">
        <f t="shared" ca="1" si="1"/>
        <v>-1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 t="e">
        <f>VLOOKUP(A131,'[1]15.10'!$A:$E,5,0)</f>
        <v>#N/A</v>
      </c>
      <c r="C131" t="e">
        <f t="shared" ref="C131:C194" ca="1" si="2">B131-$R$1</f>
        <v>#N/A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/>
      <c r="Q131" s="2">
        <v>46295</v>
      </c>
    </row>
    <row r="132" spans="1:17" x14ac:dyDescent="0.3">
      <c r="A132" t="s">
        <v>187</v>
      </c>
      <c r="B132" s="2" t="e">
        <f>VLOOKUP(A132,'[1]15.10'!$A:$E,5,0)</f>
        <v>#N/A</v>
      </c>
      <c r="C132" t="e">
        <f t="shared" ca="1" si="2"/>
        <v>#N/A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/>
      <c r="Q132" s="2"/>
    </row>
    <row r="133" spans="1:17" x14ac:dyDescent="0.3">
      <c r="A133" t="s">
        <v>188</v>
      </c>
      <c r="B133" s="2" t="e">
        <f>VLOOKUP(A133,'[1]15.10'!$A:$E,5,0)</f>
        <v>#N/A</v>
      </c>
      <c r="C133" t="e">
        <f t="shared" ca="1" si="2"/>
        <v>#N/A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/>
      <c r="Q133" s="2"/>
    </row>
    <row r="134" spans="1:17" x14ac:dyDescent="0.3">
      <c r="A134" t="s">
        <v>189</v>
      </c>
      <c r="B134" s="2" t="e">
        <f>VLOOKUP(A134,'[1]15.10'!$A:$E,5,0)</f>
        <v>#N/A</v>
      </c>
      <c r="C134" t="e">
        <f t="shared" ca="1" si="2"/>
        <v>#N/A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/>
      <c r="Q134" s="2"/>
    </row>
    <row r="135" spans="1:17" x14ac:dyDescent="0.3">
      <c r="A135" t="s">
        <v>190</v>
      </c>
      <c r="B135" s="2" t="e">
        <f>VLOOKUP(A135,'[1]15.10'!$A:$E,5,0)</f>
        <v>#N/A</v>
      </c>
      <c r="C135" t="e">
        <f t="shared" ca="1" si="2"/>
        <v>#N/A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/>
      <c r="Q135" s="2"/>
    </row>
    <row r="136" spans="1:17" x14ac:dyDescent="0.3">
      <c r="A136" t="s">
        <v>191</v>
      </c>
      <c r="B136" s="2" t="e">
        <f>VLOOKUP(A136,'[1]15.10'!$A:$E,5,0)</f>
        <v>#N/A</v>
      </c>
      <c r="C136" t="e">
        <f t="shared" ca="1" si="2"/>
        <v>#N/A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/>
      <c r="Q136" s="2"/>
    </row>
    <row r="137" spans="1:17" x14ac:dyDescent="0.3">
      <c r="A137" t="s">
        <v>192</v>
      </c>
      <c r="B137" s="2" t="e">
        <f>VLOOKUP(A137,'[1]15.10'!$A:$E,5,0)</f>
        <v>#N/A</v>
      </c>
      <c r="C137" t="e">
        <f t="shared" ca="1" si="2"/>
        <v>#N/A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/>
      <c r="Q137" s="2"/>
    </row>
    <row r="138" spans="1:17" x14ac:dyDescent="0.3">
      <c r="A138" t="s">
        <v>193</v>
      </c>
      <c r="B138" s="2" t="e">
        <f>VLOOKUP(A138,'[1]15.10'!$A:$E,5,0)</f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f>VLOOKUP(A139,'[1]15.10'!$A:$E,5,0)</f>
        <v>#N/A</v>
      </c>
      <c r="C139" t="e">
        <f t="shared" ca="1" si="2"/>
        <v>#N/A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/>
      <c r="Q139" s="2"/>
    </row>
    <row r="140" spans="1:17" x14ac:dyDescent="0.3">
      <c r="A140" t="s">
        <v>195</v>
      </c>
      <c r="B140" s="2" t="e">
        <f>VLOOKUP(A140,'[1]15.10'!$A:$E,5,0)</f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f>VLOOKUP(A141,'[1]15.10'!$A:$E,5,0)</f>
        <v>#N/A</v>
      </c>
      <c r="C141" t="e">
        <f t="shared" ca="1" si="2"/>
        <v>#N/A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/>
      <c r="Q141" s="2"/>
    </row>
    <row r="142" spans="1:17" x14ac:dyDescent="0.3">
      <c r="A142" t="s">
        <v>197</v>
      </c>
      <c r="B142" s="2" t="e">
        <f>VLOOKUP(A142,'[1]15.10'!$A:$E,5,0)</f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f>VLOOKUP(A143,'[1]15.10'!$A:$E,5,0)</f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f>VLOOKUP(A144,'[1]15.10'!$A:$E,5,0)</f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f>VLOOKUP(A145,'[1]15.10'!$A:$E,5,0)</f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f>VLOOKUP(A146,'[1]15.10'!$A:$E,5,0)</f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f>VLOOKUP(A147,'[1]15.10'!$A:$E,5,0)</f>
        <v>#N/A</v>
      </c>
      <c r="C147" t="e">
        <f t="shared" ca="1" si="2"/>
        <v>#N/A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/>
      <c r="Q147" s="2"/>
    </row>
    <row r="148" spans="1:17" x14ac:dyDescent="0.3">
      <c r="A148" t="s">
        <v>203</v>
      </c>
      <c r="B148" s="2" t="e">
        <f>VLOOKUP(A148,'[1]15.10'!$A:$E,5,0)</f>
        <v>#N/A</v>
      </c>
      <c r="C148" t="e">
        <f t="shared" ca="1" si="2"/>
        <v>#N/A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/>
      <c r="Q148" s="2"/>
    </row>
    <row r="149" spans="1:17" x14ac:dyDescent="0.3">
      <c r="A149" t="s">
        <v>204</v>
      </c>
      <c r="B149" s="2" t="e">
        <f>VLOOKUP(A149,'[1]15.10'!$A:$E,5,0)</f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f>VLOOKUP(A150,'[1]15.10'!$A:$E,5,0)</f>
        <v>#N/A</v>
      </c>
      <c r="C150" t="e">
        <f t="shared" ca="1" si="2"/>
        <v>#N/A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f>VLOOKUP(A151,'[1]15.10'!$A:$E,5,0)</f>
        <v>46308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f>VLOOKUP(A152,'[1]15.10'!$A:$E,5,0)</f>
        <v>46308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f>VLOOKUP(A153,'[1]15.10'!$A:$E,5,0)</f>
        <v>46308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f>VLOOKUP(A154,'[1]15.10'!$A:$E,5,0)</f>
        <v>46308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f>VLOOKUP(A155,'[1]15.10'!$A:$E,5,0)</f>
        <v>46294</v>
      </c>
      <c r="C155">
        <f t="shared" ca="1" si="2"/>
        <v>-15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f>VLOOKUP(A156,'[1]15.10'!$A:$E,5,0)</f>
        <v>46289</v>
      </c>
      <c r="C156">
        <f t="shared" ca="1" si="2"/>
        <v>-20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f>VLOOKUP(A157,'[1]15.10'!$A:$E,5,0)</f>
        <v>46308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f>VLOOKUP(A158,'[1]15.10'!$A:$E,5,0)</f>
        <v>46308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f>VLOOKUP(A159,'[1]15.10'!$A:$E,5,0)</f>
        <v>46307</v>
      </c>
      <c r="C159">
        <f t="shared" ca="1" si="2"/>
        <v>-2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f>VLOOKUP(A160,'[1]15.10'!$A:$E,5,0)</f>
        <v>46308</v>
      </c>
      <c r="C160">
        <f t="shared" ca="1" si="2"/>
        <v>-1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f>VLOOKUP(A161,'[1]15.10'!$A:$E,5,0)</f>
        <v>46308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f>VLOOKUP(A162,'[1]15.10'!$A:$E,5,0)</f>
        <v>46308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f>VLOOKUP(A163,'[1]15.10'!$A:$E,5,0)</f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f>VLOOKUP(A164,'[1]15.10'!$A:$E,5,0)</f>
        <v>#N/A</v>
      </c>
      <c r="C164" t="e">
        <f t="shared" ca="1" si="2"/>
        <v>#N/A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/>
      <c r="Q164" s="2"/>
    </row>
    <row r="165" spans="1:17" x14ac:dyDescent="0.3">
      <c r="A165" t="s">
        <v>208</v>
      </c>
      <c r="B165" s="2">
        <f>VLOOKUP(A165,'[1]15.10'!$A:$E,5,0)</f>
        <v>46308</v>
      </c>
      <c r="C165">
        <f t="shared" ca="1" si="2"/>
        <v>-1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/>
      <c r="Q165" s="2"/>
    </row>
    <row r="166" spans="1:17" x14ac:dyDescent="0.3">
      <c r="A166" t="s">
        <v>209</v>
      </c>
      <c r="B166" s="2" t="e">
        <f>VLOOKUP(A166,'[1]15.10'!$A:$E,5,0)</f>
        <v>#N/A</v>
      </c>
      <c r="C166" t="e">
        <f t="shared" ca="1" si="2"/>
        <v>#N/A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/>
      <c r="Q166" s="2"/>
    </row>
    <row r="167" spans="1:17" x14ac:dyDescent="0.3">
      <c r="A167" t="s">
        <v>210</v>
      </c>
      <c r="B167" s="2" t="e">
        <f>VLOOKUP(A167,'[1]15.10'!$A:$E,5,0)</f>
        <v>#N/A</v>
      </c>
      <c r="C167" t="e">
        <f t="shared" ca="1" si="2"/>
        <v>#N/A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/>
      <c r="Q167" s="2"/>
    </row>
    <row r="168" spans="1:17" x14ac:dyDescent="0.3">
      <c r="A168" t="s">
        <v>211</v>
      </c>
      <c r="B168" s="2" t="e">
        <f>VLOOKUP(A168,'[1]15.10'!$A:$E,5,0)</f>
        <v>#N/A</v>
      </c>
      <c r="C168" t="e">
        <f t="shared" ca="1" si="2"/>
        <v>#N/A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/>
      <c r="Q168" s="2"/>
    </row>
    <row r="169" spans="1:17" x14ac:dyDescent="0.3">
      <c r="A169" t="s">
        <v>212</v>
      </c>
      <c r="B169" s="2" t="e">
        <f>VLOOKUP(A169,'[1]15.10'!$A:$E,5,0)</f>
        <v>#N/A</v>
      </c>
      <c r="C169" t="e">
        <f t="shared" ca="1" si="2"/>
        <v>#N/A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f>VLOOKUP(A170,'[1]15.10'!$A:$E,5,0)</f>
        <v>#N/A</v>
      </c>
      <c r="C170" t="e">
        <f t="shared" ca="1" si="2"/>
        <v>#N/A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/>
      <c r="Q170" s="2"/>
    </row>
    <row r="171" spans="1:17" x14ac:dyDescent="0.3">
      <c r="A171" t="s">
        <v>214</v>
      </c>
      <c r="B171" s="2" t="e">
        <f>VLOOKUP(A171,'[1]15.10'!$A:$E,5,0)</f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f>VLOOKUP(A172,'[1]15.10'!$A:$E,5,0)</f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f>VLOOKUP(A173,'[1]15.10'!$A:$E,5,0)</f>
        <v>46300</v>
      </c>
      <c r="C173">
        <f t="shared" ca="1" si="2"/>
        <v>-9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448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f>VLOOKUP(A174,'[1]15.10'!$A:$E,5,0)</f>
        <v>46301</v>
      </c>
      <c r="C174">
        <f t="shared" ca="1" si="2"/>
        <v>-8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448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f>VLOOKUP(A175,'[1]15.10'!$A:$E,5,0)</f>
        <v>46299</v>
      </c>
      <c r="C175">
        <f t="shared" ca="1" si="2"/>
        <v>-10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448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f>VLOOKUP(A176,'[1]15.10'!$A:$E,5,0)</f>
        <v>46305</v>
      </c>
      <c r="C176">
        <f t="shared" ca="1" si="2"/>
        <v>-4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448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f>VLOOKUP(A177,'[1]15.10'!$A:$E,5,0)</f>
        <v>46304</v>
      </c>
      <c r="C177">
        <f t="shared" ca="1" si="2"/>
        <v>-5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449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f>VLOOKUP(A178,'[1]15.10'!$A:$E,5,0)</f>
        <v>46304</v>
      </c>
      <c r="C178">
        <f t="shared" ca="1" si="2"/>
        <v>-5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449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f>VLOOKUP(A179,'[1]15.10'!$A:$E,5,0)</f>
        <v>46303</v>
      </c>
      <c r="C179">
        <f t="shared" ca="1" si="2"/>
        <v>-6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450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f>VLOOKUP(A180,'[1]15.10'!$A:$E,5,0)</f>
        <v>46304</v>
      </c>
      <c r="C180">
        <f t="shared" ca="1" si="2"/>
        <v>-5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450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f>VLOOKUP(A181,'[1]15.10'!$A:$E,5,0)</f>
        <v>46302</v>
      </c>
      <c r="C181">
        <f t="shared" ca="1" si="2"/>
        <v>-7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450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f>VLOOKUP(A182,'[1]15.10'!$A:$E,5,0)</f>
        <v>46305</v>
      </c>
      <c r="C182">
        <f t="shared" ca="1" si="2"/>
        <v>-4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450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f>VLOOKUP(A183,'[1]15.10'!$A:$E,5,0)</f>
        <v>46303</v>
      </c>
      <c r="C183">
        <f t="shared" ca="1" si="2"/>
        <v>-6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451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f>VLOOKUP(A184,'[1]15.10'!$A:$E,5,0)</f>
        <v>46266</v>
      </c>
      <c r="C184">
        <f t="shared" ca="1" si="2"/>
        <v>-43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469</v>
      </c>
      <c r="N184" t="s">
        <v>452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f>VLOOKUP(A185,'[1]15.10'!$A:$E,5,0)</f>
        <v>46302</v>
      </c>
      <c r="C185">
        <f t="shared" ca="1" si="2"/>
        <v>-7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469</v>
      </c>
      <c r="N185" t="s">
        <v>452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f>VLOOKUP(A186,'[1]15.10'!$A:$E,5,0)</f>
        <v>46301</v>
      </c>
      <c r="C186">
        <f t="shared" ca="1" si="2"/>
        <v>-8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453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f>VLOOKUP(A187,'[1]15.10'!$A:$E,5,0)</f>
        <v>46304</v>
      </c>
      <c r="C187">
        <f t="shared" ca="1" si="2"/>
        <v>-5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453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f>VLOOKUP(A188,'[1]15.10'!$A:$E,5,0)</f>
        <v>46304</v>
      </c>
      <c r="C188">
        <f t="shared" ca="1" si="2"/>
        <v>-5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451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f>VLOOKUP(A189,'[1]15.10'!$A:$E,5,0)</f>
        <v>46260</v>
      </c>
      <c r="C189">
        <f t="shared" ca="1" si="2"/>
        <v>-49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453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f>VLOOKUP(A190,'[1]15.10'!$A:$E,5,0)</f>
        <v>46298</v>
      </c>
      <c r="C190">
        <f t="shared" ca="1" si="2"/>
        <v>-11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470</v>
      </c>
      <c r="N190" t="s">
        <v>454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f>VLOOKUP(A191,'[1]15.10'!$A:$E,5,0)</f>
        <v>46211</v>
      </c>
      <c r="C191">
        <f t="shared" ca="1" si="2"/>
        <v>-98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163</v>
      </c>
      <c r="K191" t="s">
        <v>11</v>
      </c>
      <c r="L191" t="s">
        <v>29</v>
      </c>
      <c r="M191" t="s">
        <v>471</v>
      </c>
      <c r="N191" t="s">
        <v>455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f>VLOOKUP(A192,'[1]15.10'!$A:$E,5,0)</f>
        <v>46231</v>
      </c>
      <c r="C192">
        <f t="shared" ca="1" si="2"/>
        <v>-78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163</v>
      </c>
      <c r="K192" t="s">
        <v>11</v>
      </c>
      <c r="L192" t="s">
        <v>29</v>
      </c>
      <c r="M192" t="s">
        <v>471</v>
      </c>
      <c r="N192" t="s">
        <v>456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f>VLOOKUP(A193,'[1]15.10'!$A:$E,5,0)</f>
        <v>46303</v>
      </c>
      <c r="C193">
        <f t="shared" ca="1" si="2"/>
        <v>-6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10</v>
      </c>
      <c r="K193" t="s">
        <v>11</v>
      </c>
      <c r="L193" t="s">
        <v>12</v>
      </c>
      <c r="M193" t="s">
        <v>178</v>
      </c>
      <c r="N193" t="s">
        <v>450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f>VLOOKUP(A194,'[1]15.10'!$A:$E,5,0)</f>
        <v>46301</v>
      </c>
      <c r="C194">
        <f t="shared" ca="1" si="2"/>
        <v>-8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10</v>
      </c>
      <c r="K194" t="s">
        <v>11</v>
      </c>
      <c r="L194" t="s">
        <v>23</v>
      </c>
      <c r="M194" t="s">
        <v>119</v>
      </c>
      <c r="N194" t="s">
        <v>120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f>VLOOKUP(A195,'[1]15.10'!$A:$E,5,0)</f>
        <v>46305</v>
      </c>
      <c r="C195">
        <f t="shared" ref="C195:C258" ca="1" si="3">B195-$R$1</f>
        <v>-4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467</v>
      </c>
      <c r="K195" t="s">
        <v>11</v>
      </c>
      <c r="L195" t="s">
        <v>12</v>
      </c>
      <c r="M195" t="s">
        <v>119</v>
      </c>
      <c r="N195" t="s">
        <v>453</v>
      </c>
      <c r="P195" s="2">
        <v>46023</v>
      </c>
      <c r="Q195" s="2">
        <v>46023</v>
      </c>
    </row>
    <row r="196" spans="1:17" x14ac:dyDescent="0.3">
      <c r="A196" t="s">
        <v>249</v>
      </c>
      <c r="B196" s="2">
        <f>VLOOKUP(A196,'[1]15.10'!$A:$E,5,0)</f>
        <v>46303</v>
      </c>
      <c r="C196">
        <f t="shared" ca="1" si="3"/>
        <v>-6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22</v>
      </c>
      <c r="K196" t="s">
        <v>11</v>
      </c>
      <c r="L196" t="s">
        <v>29</v>
      </c>
      <c r="M196" t="s">
        <v>119</v>
      </c>
      <c r="N196" t="s">
        <v>451</v>
      </c>
      <c r="P196" s="2">
        <v>46023</v>
      </c>
      <c r="Q196" s="2">
        <v>46023</v>
      </c>
    </row>
    <row r="197" spans="1:17" x14ac:dyDescent="0.3">
      <c r="A197" t="s">
        <v>250</v>
      </c>
      <c r="B197" s="2">
        <f>VLOOKUP(A197,'[1]15.10'!$A:$E,5,0)</f>
        <v>46304</v>
      </c>
      <c r="C197">
        <f t="shared" ca="1" si="3"/>
        <v>-5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118</v>
      </c>
      <c r="K197" t="s">
        <v>33</v>
      </c>
      <c r="L197" t="s">
        <v>12</v>
      </c>
      <c r="M197" t="s">
        <v>24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f>VLOOKUP(A198,'[1]15.10'!$A:$E,5,0)</f>
        <v>46301</v>
      </c>
      <c r="C198">
        <f t="shared" ca="1" si="3"/>
        <v>-8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10</v>
      </c>
      <c r="K198" t="s">
        <v>11</v>
      </c>
      <c r="L198" t="s">
        <v>29</v>
      </c>
      <c r="M198" t="s">
        <v>471</v>
      </c>
      <c r="N198" t="s">
        <v>452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f>VLOOKUP(A199,'[1]15.10'!$A:$E,5,0)</f>
        <v>46300</v>
      </c>
      <c r="C199">
        <f t="shared" ca="1" si="3"/>
        <v>-9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10</v>
      </c>
      <c r="K199" t="s">
        <v>11</v>
      </c>
      <c r="L199" t="s">
        <v>29</v>
      </c>
      <c r="M199" t="s">
        <v>471</v>
      </c>
      <c r="N199" t="s">
        <v>456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f>VLOOKUP(A200,'[1]15.10'!$A:$E,5,0)</f>
        <v>46167</v>
      </c>
      <c r="C200">
        <f t="shared" ca="1" si="3"/>
        <v>-142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448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f>VLOOKUP(A201,'[1]15.10'!$A:$E,5,0)</f>
        <v>46286</v>
      </c>
      <c r="C201">
        <f t="shared" ca="1" si="3"/>
        <v>-23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32</v>
      </c>
      <c r="K201" t="s">
        <v>33</v>
      </c>
      <c r="L201" t="s">
        <v>23</v>
      </c>
      <c r="M201" t="s">
        <v>34</v>
      </c>
      <c r="N201" t="s">
        <v>448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f>VLOOKUP(A202,'[1]15.10'!$A:$E,5,0)</f>
        <v>46281</v>
      </c>
      <c r="C202">
        <f t="shared" ca="1" si="3"/>
        <v>-28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32</v>
      </c>
      <c r="K202" t="s">
        <v>33</v>
      </c>
      <c r="L202" t="s">
        <v>23</v>
      </c>
      <c r="M202" t="s">
        <v>34</v>
      </c>
      <c r="N202" t="s">
        <v>448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f>VLOOKUP(A203,'[1]15.10'!$A:$E,5,0)</f>
        <v>46299</v>
      </c>
      <c r="C203">
        <f t="shared" ca="1" si="3"/>
        <v>-10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457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f>VLOOKUP(A204,'[1]15.10'!$A:$E,5,0)</f>
        <v>46037</v>
      </c>
      <c r="C204">
        <f t="shared" ca="1" si="3"/>
        <v>-272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457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f>VLOOKUP(A205,'[1]15.10'!$A:$E,5,0)</f>
        <v>46308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22</v>
      </c>
      <c r="K205" t="s">
        <v>11</v>
      </c>
      <c r="L205" t="s">
        <v>29</v>
      </c>
      <c r="M205" t="s">
        <v>34</v>
      </c>
      <c r="N205" t="s">
        <v>457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f>VLOOKUP(A206,'[1]15.10'!$A:$E,5,0)</f>
        <v>46308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22</v>
      </c>
      <c r="K206" t="s">
        <v>11</v>
      </c>
      <c r="L206" t="s">
        <v>29</v>
      </c>
      <c r="M206" t="s">
        <v>34</v>
      </c>
      <c r="N206" t="s">
        <v>457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f>VLOOKUP(A207,'[1]15.10'!$A:$E,5,0)</f>
        <v>46308</v>
      </c>
      <c r="C207">
        <f t="shared" ca="1" si="3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28</v>
      </c>
      <c r="K207" t="s">
        <v>11</v>
      </c>
      <c r="L207" t="s">
        <v>12</v>
      </c>
      <c r="M207" t="s">
        <v>178</v>
      </c>
      <c r="N207" t="s">
        <v>453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f>VLOOKUP(A208,'[1]15.10'!$A:$E,5,0)</f>
        <v>46307</v>
      </c>
      <c r="C208">
        <f t="shared" ca="1" si="3"/>
        <v>-2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449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f>VLOOKUP(A209,'[1]15.10'!$A:$E,5,0)</f>
        <v>46263</v>
      </c>
      <c r="C209">
        <f t="shared" ca="1" si="3"/>
        <v>-46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449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f>VLOOKUP(A210,'[1]15.10'!$A:$E,5,0)</f>
        <v>46307</v>
      </c>
      <c r="C210">
        <f t="shared" ca="1" si="3"/>
        <v>-2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449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f>VLOOKUP(A211,'[1]15.10'!$A:$E,5,0)</f>
        <v>46307</v>
      </c>
      <c r="C211">
        <f t="shared" ca="1" si="3"/>
        <v>-2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449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f>VLOOKUP(A212,'[1]15.10'!$A:$E,5,0)</f>
        <v>46308</v>
      </c>
      <c r="C212">
        <f t="shared" ca="1" si="3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449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f>VLOOKUP(A213,'[1]15.10'!$A:$E,5,0)</f>
        <v>46307</v>
      </c>
      <c r="C213">
        <f t="shared" ca="1" si="3"/>
        <v>-2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449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f>VLOOKUP(A214,'[1]15.10'!$A:$E,5,0)</f>
        <v>46308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449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f>VLOOKUP(A215,'[1]15.10'!$A:$E,5,0)</f>
        <v>46308</v>
      </c>
      <c r="C215">
        <f t="shared" ca="1" si="3"/>
        <v>-1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449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f>VLOOKUP(A216,'[1]15.10'!$A:$E,5,0)</f>
        <v>46308</v>
      </c>
      <c r="C216">
        <f t="shared" ca="1" si="3"/>
        <v>-1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449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f>VLOOKUP(A217,'[1]15.10'!$A:$E,5,0)</f>
        <v>46308</v>
      </c>
      <c r="C217">
        <f t="shared" ca="1" si="3"/>
        <v>-1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32</v>
      </c>
      <c r="K217" t="s">
        <v>33</v>
      </c>
      <c r="L217" t="s">
        <v>23</v>
      </c>
      <c r="M217" t="s">
        <v>24</v>
      </c>
      <c r="N217" t="s">
        <v>449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f>VLOOKUP(A218,'[1]15.10'!$A:$E,5,0)</f>
        <v>46300</v>
      </c>
      <c r="C218">
        <f t="shared" ca="1" si="3"/>
        <v>-9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32</v>
      </c>
      <c r="K218" t="s">
        <v>33</v>
      </c>
      <c r="L218" t="s">
        <v>23</v>
      </c>
      <c r="M218" t="s">
        <v>24</v>
      </c>
      <c r="N218" t="s">
        <v>449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f>VLOOKUP(A219,'[1]15.10'!$A:$E,5,0)</f>
        <v>46308</v>
      </c>
      <c r="C219">
        <f t="shared" ca="1" si="3"/>
        <v>-1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458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f>VLOOKUP(A220,'[1]15.10'!$A:$E,5,0)</f>
        <v>46308</v>
      </c>
      <c r="C220">
        <f t="shared" ca="1" si="3"/>
        <v>-1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458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f>VLOOKUP(A221,'[1]15.10'!$A:$E,5,0)</f>
        <v>46303</v>
      </c>
      <c r="C221">
        <f t="shared" ca="1" si="3"/>
        <v>-6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458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f>VLOOKUP(A222,'[1]15.10'!$A:$E,5,0)</f>
        <v>46285</v>
      </c>
      <c r="C222">
        <f t="shared" ca="1" si="3"/>
        <v>-24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458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f>VLOOKUP(A223,'[1]15.10'!$A:$E,5,0)</f>
        <v>46308</v>
      </c>
      <c r="C223">
        <f t="shared" ca="1" si="3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450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f>VLOOKUP(A224,'[1]15.10'!$A:$E,5,0)</f>
        <v>46307</v>
      </c>
      <c r="C224">
        <f t="shared" ca="1" si="3"/>
        <v>-2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450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f>VLOOKUP(A225,'[1]15.10'!$A:$E,5,0)</f>
        <v>46308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118</v>
      </c>
      <c r="K225" t="s">
        <v>33</v>
      </c>
      <c r="L225" t="s">
        <v>12</v>
      </c>
      <c r="M225" t="s">
        <v>178</v>
      </c>
      <c r="N225" t="s">
        <v>450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f>VLOOKUP(A226,'[1]15.10'!$A:$E,5,0)</f>
        <v>46308</v>
      </c>
      <c r="C226">
        <f t="shared" ca="1" si="3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118</v>
      </c>
      <c r="K226" t="s">
        <v>33</v>
      </c>
      <c r="L226" t="s">
        <v>12</v>
      </c>
      <c r="M226" t="s">
        <v>178</v>
      </c>
      <c r="N226" t="s">
        <v>450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f>VLOOKUP(A227,'[1]15.10'!$A:$E,5,0)</f>
        <v>46308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467</v>
      </c>
      <c r="K227" t="s">
        <v>11</v>
      </c>
      <c r="L227" t="s">
        <v>12</v>
      </c>
      <c r="M227" t="s">
        <v>119</v>
      </c>
      <c r="N227" t="s">
        <v>453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f>VLOOKUP(A228,'[1]15.10'!$A:$E,5,0)</f>
        <v>46308</v>
      </c>
      <c r="C228">
        <f t="shared" ca="1" si="3"/>
        <v>-1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450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f>VLOOKUP(A229,'[1]15.10'!$A:$E,5,0)</f>
        <v>46308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450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f>VLOOKUP(A230,'[1]15.10'!$A:$E,5,0)</f>
        <v>46292</v>
      </c>
      <c r="C230">
        <f t="shared" ca="1" si="3"/>
        <v>-17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453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f>VLOOKUP(A231,'[1]15.10'!$A:$E,5,0)</f>
        <v>46308</v>
      </c>
      <c r="C231">
        <f t="shared" ca="1" si="3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453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f>VLOOKUP(A232,'[1]15.10'!$A:$E,5,0)</f>
        <v>46306</v>
      </c>
      <c r="C232">
        <f t="shared" ca="1" si="3"/>
        <v>-3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450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f>VLOOKUP(A233,'[1]15.10'!$A:$E,5,0)</f>
        <v>46308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450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f>VLOOKUP(A234,'[1]15.10'!$A:$E,5,0)</f>
        <v>46308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450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f>VLOOKUP(A235,'[1]15.10'!$A:$E,5,0)</f>
        <v>46307</v>
      </c>
      <c r="C235">
        <f t="shared" ca="1" si="3"/>
        <v>-2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450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f>VLOOKUP(A236,'[1]15.10'!$A:$E,5,0)</f>
        <v>46308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450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f>VLOOKUP(A237,'[1]15.10'!$A:$E,5,0)</f>
        <v>46308</v>
      </c>
      <c r="C237">
        <f t="shared" ca="1" si="3"/>
        <v>-1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450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f>VLOOKUP(A238,'[1]15.10'!$A:$E,5,0)</f>
        <v>46307</v>
      </c>
      <c r="C238">
        <f t="shared" ca="1" si="3"/>
        <v>-2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450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f>VLOOKUP(A239,'[1]15.10'!$A:$E,5,0)</f>
        <v>46308</v>
      </c>
      <c r="C239">
        <f t="shared" ca="1" si="3"/>
        <v>-1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450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f>VLOOKUP(A240,'[1]15.10'!$A:$E,5,0)</f>
        <v>46308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450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f>VLOOKUP(A241,'[1]15.10'!$A:$E,5,0)</f>
        <v>46301</v>
      </c>
      <c r="C241">
        <f t="shared" ca="1" si="3"/>
        <v>-8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450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f>VLOOKUP(A242,'[1]15.10'!$A:$E,5,0)</f>
        <v>46308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178</v>
      </c>
      <c r="N242" t="s">
        <v>450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f>VLOOKUP(A243,'[1]15.10'!$A:$E,5,0)</f>
        <v>46308</v>
      </c>
      <c r="C243">
        <f t="shared" ca="1" si="3"/>
        <v>-1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178</v>
      </c>
      <c r="N243" t="s">
        <v>450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f>VLOOKUP(A244,'[1]15.10'!$A:$E,5,0)</f>
        <v>46308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119</v>
      </c>
      <c r="N244" t="s">
        <v>453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f>VLOOKUP(A245,'[1]15.10'!$A:$E,5,0)</f>
        <v>46274</v>
      </c>
      <c r="C245">
        <f t="shared" ca="1" si="3"/>
        <v>-35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10</v>
      </c>
      <c r="K245" t="s">
        <v>11</v>
      </c>
      <c r="L245" t="s">
        <v>12</v>
      </c>
      <c r="M245" t="s">
        <v>119</v>
      </c>
      <c r="N245" t="s">
        <v>453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f>VLOOKUP(A246,'[1]15.10'!$A:$E,5,0)</f>
        <v>46308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10</v>
      </c>
      <c r="K246" t="s">
        <v>11</v>
      </c>
      <c r="L246" t="s">
        <v>12</v>
      </c>
      <c r="M246" t="s">
        <v>178</v>
      </c>
      <c r="N246" t="s">
        <v>450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f>VLOOKUP(A247,'[1]15.10'!$A:$E,5,0)</f>
        <v>46308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467</v>
      </c>
      <c r="K247" t="s">
        <v>11</v>
      </c>
      <c r="L247" t="s">
        <v>12</v>
      </c>
      <c r="M247" t="s">
        <v>119</v>
      </c>
      <c r="N247" t="s">
        <v>453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f>VLOOKUP(A248,'[1]15.10'!$A:$E,5,0)</f>
        <v>46307</v>
      </c>
      <c r="C248">
        <f t="shared" ca="1" si="3"/>
        <v>-2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466</v>
      </c>
      <c r="K248" t="s">
        <v>11</v>
      </c>
      <c r="L248" t="s">
        <v>12</v>
      </c>
      <c r="M248" t="s">
        <v>119</v>
      </c>
      <c r="N248" t="s">
        <v>453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f>VLOOKUP(A249,'[1]15.10'!$A:$E,5,0)</f>
        <v>46308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468</v>
      </c>
      <c r="K249" t="s">
        <v>11</v>
      </c>
      <c r="L249" t="s">
        <v>12</v>
      </c>
      <c r="M249" t="s">
        <v>178</v>
      </c>
      <c r="N249" t="s">
        <v>450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f>VLOOKUP(A250,'[1]15.10'!$A:$E,5,0)</f>
        <v>46282</v>
      </c>
      <c r="C250">
        <f t="shared" ca="1" si="3"/>
        <v>-27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468</v>
      </c>
      <c r="K250" t="s">
        <v>11</v>
      </c>
      <c r="L250" t="s">
        <v>12</v>
      </c>
      <c r="M250" t="s">
        <v>178</v>
      </c>
      <c r="N250" t="s">
        <v>450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f>VLOOKUP(A251,'[1]15.10'!$A:$E,5,0)</f>
        <v>46307</v>
      </c>
      <c r="C251">
        <f t="shared" ca="1" si="3"/>
        <v>-2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28</v>
      </c>
      <c r="K251" t="s">
        <v>11</v>
      </c>
      <c r="L251" t="s">
        <v>12</v>
      </c>
      <c r="M251" t="s">
        <v>178</v>
      </c>
      <c r="N251" t="s">
        <v>453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f>VLOOKUP(A252,'[1]15.10'!$A:$E,5,0)</f>
        <v>46196</v>
      </c>
      <c r="C252">
        <f t="shared" ca="1" si="3"/>
        <v>-113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469</v>
      </c>
      <c r="N252" t="s">
        <v>459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f>VLOOKUP(A253,'[1]15.10'!$A:$E,5,0)</f>
        <v>46294</v>
      </c>
      <c r="C253">
        <f t="shared" ca="1" si="3"/>
        <v>-15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469</v>
      </c>
      <c r="N253" t="s">
        <v>459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f>VLOOKUP(A254,'[1]15.10'!$A:$E,5,0)</f>
        <v>46308</v>
      </c>
      <c r="C254">
        <f t="shared" ca="1" si="3"/>
        <v>-1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469</v>
      </c>
      <c r="N254" t="s">
        <v>459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f>VLOOKUP(A255,'[1]15.10'!$A:$E,5,0)</f>
        <v>46308</v>
      </c>
      <c r="C255">
        <f t="shared" ca="1" si="3"/>
        <v>-1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469</v>
      </c>
      <c r="N255" t="s">
        <v>459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f>VLOOKUP(A256,'[1]15.10'!$A:$E,5,0)</f>
        <v>46308</v>
      </c>
      <c r="C256">
        <f t="shared" ca="1" si="3"/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469</v>
      </c>
      <c r="N256" t="s">
        <v>459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f>VLOOKUP(A257,'[1]15.10'!$A:$E,5,0)</f>
        <v>46301</v>
      </c>
      <c r="C257">
        <f t="shared" ca="1" si="3"/>
        <v>-8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469</v>
      </c>
      <c r="N257" t="s">
        <v>459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f>VLOOKUP(A258,'[1]15.10'!$A:$E,5,0)</f>
        <v>46308</v>
      </c>
      <c r="C258">
        <f t="shared" ca="1" si="3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469</v>
      </c>
      <c r="N258" t="s">
        <v>459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f>VLOOKUP(A259,'[1]15.10'!$A:$E,5,0)</f>
        <v>46207</v>
      </c>
      <c r="C259">
        <f t="shared" ref="C259:C322" ca="1" si="4">B259-$R$1</f>
        <v>-102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469</v>
      </c>
      <c r="N259" t="s">
        <v>459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f>VLOOKUP(A260,'[1]15.10'!$A:$E,5,0)</f>
        <v>46308</v>
      </c>
      <c r="C260">
        <f t="shared" ca="1" si="4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469</v>
      </c>
      <c r="N260" t="s">
        <v>460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f>VLOOKUP(A261,'[1]15.10'!$A:$E,5,0)</f>
        <v>46308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469</v>
      </c>
      <c r="N261" t="s">
        <v>459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f>VLOOKUP(A262,'[1]15.10'!$A:$E,5,0)</f>
        <v>46308</v>
      </c>
      <c r="C262">
        <f t="shared" ca="1" si="4"/>
        <v>-1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469</v>
      </c>
      <c r="N262" t="s">
        <v>459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f>VLOOKUP(A263,'[1]15.10'!$A:$E,5,0)</f>
        <v>46307</v>
      </c>
      <c r="C263">
        <f t="shared" ca="1" si="4"/>
        <v>-2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469</v>
      </c>
      <c r="N263" t="s">
        <v>461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f>VLOOKUP(A264,'[1]15.10'!$A:$E,5,0)</f>
        <v>46297</v>
      </c>
      <c r="C264">
        <f t="shared" ca="1" si="4"/>
        <v>-12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469</v>
      </c>
      <c r="N264" t="s">
        <v>461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f>VLOOKUP(A265,'[1]15.10'!$A:$E,5,0)</f>
        <v>46307</v>
      </c>
      <c r="C265">
        <f t="shared" ca="1" si="4"/>
        <v>-2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469</v>
      </c>
      <c r="N265" t="s">
        <v>461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f>VLOOKUP(A266,'[1]15.10'!$A:$E,5,0)</f>
        <v>46307</v>
      </c>
      <c r="C266">
        <f t="shared" ca="1" si="4"/>
        <v>-2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469</v>
      </c>
      <c r="N266" t="s">
        <v>461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f>VLOOKUP(A267,'[1]15.10'!$A:$E,5,0)</f>
        <v>46308</v>
      </c>
      <c r="C267">
        <f t="shared" ca="1" si="4"/>
        <v>-1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469</v>
      </c>
      <c r="N267" t="s">
        <v>461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f>VLOOKUP(A268,'[1]15.10'!$A:$E,5,0)</f>
        <v>46302</v>
      </c>
      <c r="C268">
        <f t="shared" ca="1" si="4"/>
        <v>-7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462</v>
      </c>
      <c r="N268" t="s">
        <v>463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f>VLOOKUP(A269,'[1]15.10'!$A:$E,5,0)</f>
        <v>46177</v>
      </c>
      <c r="C269">
        <f t="shared" ca="1" si="4"/>
        <v>-132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462</v>
      </c>
      <c r="N269" t="s">
        <v>463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f>VLOOKUP(A270,'[1]15.10'!$A:$E,5,0)</f>
        <v>46308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462</v>
      </c>
      <c r="N270" t="s">
        <v>463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f>VLOOKUP(A271,'[1]15.10'!$A:$E,5,0)</f>
        <v>46299</v>
      </c>
      <c r="C271">
        <f t="shared" ca="1" si="4"/>
        <v>-10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</v>
      </c>
      <c r="K271" t="s">
        <v>11</v>
      </c>
      <c r="L271" t="s">
        <v>23</v>
      </c>
      <c r="M271" t="s">
        <v>462</v>
      </c>
      <c r="N271" t="s">
        <v>463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f>VLOOKUP(A272,'[1]15.10'!$A:$E,5,0)</f>
        <v>46308</v>
      </c>
      <c r="C272">
        <f t="shared" ca="1" si="4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</v>
      </c>
      <c r="K272" t="s">
        <v>11</v>
      </c>
      <c r="L272" t="s">
        <v>23</v>
      </c>
      <c r="M272" t="s">
        <v>462</v>
      </c>
      <c r="N272" t="s">
        <v>463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f>VLOOKUP(A273,'[1]15.10'!$A:$E,5,0)</f>
        <v>46308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451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f>VLOOKUP(A274,'[1]15.10'!$A:$E,5,0)</f>
        <v>46307</v>
      </c>
      <c r="C274">
        <f t="shared" ca="1" si="4"/>
        <v>-2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451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f>VLOOKUP(A275,'[1]15.10'!$A:$E,5,0)</f>
        <v>46307</v>
      </c>
      <c r="C275">
        <f t="shared" ca="1" si="4"/>
        <v>-2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451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f>VLOOKUP(A276,'[1]15.10'!$A:$E,5,0)</f>
        <v>46308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451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f>VLOOKUP(A277,'[1]15.10'!$A:$E,5,0)</f>
        <v>46308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451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f>VLOOKUP(A278,'[1]15.10'!$A:$E,5,0)</f>
        <v>46308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451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f>VLOOKUP(A279,'[1]15.10'!$A:$E,5,0)</f>
        <v>46308</v>
      </c>
      <c r="C279">
        <f t="shared" ca="1" si="4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451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f>VLOOKUP(A280,'[1]15.10'!$A:$E,5,0)</f>
        <v>46308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225</v>
      </c>
      <c r="K280" t="s">
        <v>11</v>
      </c>
      <c r="L280" t="s">
        <v>29</v>
      </c>
      <c r="M280" t="s">
        <v>119</v>
      </c>
      <c r="N280" t="s">
        <v>451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f>VLOOKUP(A281,'[1]15.10'!$A:$E,5,0)</f>
        <v>46308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225</v>
      </c>
      <c r="K281" t="s">
        <v>11</v>
      </c>
      <c r="L281" t="s">
        <v>29</v>
      </c>
      <c r="M281" t="s">
        <v>119</v>
      </c>
      <c r="N281" t="s">
        <v>451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f>VLOOKUP(A282,'[1]15.10'!$A:$E,5,0)</f>
        <v>46308</v>
      </c>
      <c r="C282">
        <f t="shared" ca="1" si="4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469</v>
      </c>
      <c r="N282" t="s">
        <v>452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f>VLOOKUP(A283,'[1]15.10'!$A:$E,5,0)</f>
        <v>46308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469</v>
      </c>
      <c r="N283" t="s">
        <v>452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f>VLOOKUP(A284,'[1]15.10'!$A:$E,5,0)</f>
        <v>46307</v>
      </c>
      <c r="C284">
        <f t="shared" ca="1" si="4"/>
        <v>-2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469</v>
      </c>
      <c r="N284" t="s">
        <v>452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f>VLOOKUP(A285,'[1]15.10'!$A:$E,5,0)</f>
        <v>46308</v>
      </c>
      <c r="C285">
        <f t="shared" ca="1" si="4"/>
        <v>-1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469</v>
      </c>
      <c r="N285" t="s">
        <v>452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f>VLOOKUP(A286,'[1]15.10'!$A:$E,5,0)</f>
        <v>46308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469</v>
      </c>
      <c r="N286" t="s">
        <v>452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f>VLOOKUP(A287,'[1]15.10'!$A:$E,5,0)</f>
        <v>46307</v>
      </c>
      <c r="C287">
        <f t="shared" ca="1" si="4"/>
        <v>-2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469</v>
      </c>
      <c r="N287" t="s">
        <v>452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f>VLOOKUP(A288,'[1]15.10'!$A:$E,5,0)</f>
        <v>46308</v>
      </c>
      <c r="C288">
        <f t="shared" ca="1" si="4"/>
        <v>-1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469</v>
      </c>
      <c r="N288" t="s">
        <v>452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f>VLOOKUP(A289,'[1]15.10'!$A:$E,5,0)</f>
        <v>46307</v>
      </c>
      <c r="C289">
        <f t="shared" ca="1" si="4"/>
        <v>-2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469</v>
      </c>
      <c r="N289" t="s">
        <v>452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f>VLOOKUP(A290,'[1]15.10'!$A:$E,5,0)</f>
        <v>46091</v>
      </c>
      <c r="C290">
        <f t="shared" ca="1" si="4"/>
        <v>-218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469</v>
      </c>
      <c r="N290" t="s">
        <v>452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f>VLOOKUP(A291,'[1]15.10'!$A:$E,5,0)</f>
        <v>46307</v>
      </c>
      <c r="C291">
        <f t="shared" ca="1" si="4"/>
        <v>-2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32</v>
      </c>
      <c r="K291" t="s">
        <v>33</v>
      </c>
      <c r="L291" t="s">
        <v>29</v>
      </c>
      <c r="M291" t="s">
        <v>469</v>
      </c>
      <c r="N291" t="s">
        <v>452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f>VLOOKUP(A292,'[1]15.10'!$A:$E,5,0)</f>
        <v>46308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32</v>
      </c>
      <c r="K292" t="s">
        <v>33</v>
      </c>
      <c r="L292" t="s">
        <v>29</v>
      </c>
      <c r="M292" t="s">
        <v>469</v>
      </c>
      <c r="N292" t="s">
        <v>452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f>VLOOKUP(A293,'[1]15.10'!$A:$E,5,0)</f>
        <v>46306</v>
      </c>
      <c r="C293">
        <f t="shared" ca="1" si="4"/>
        <v>-3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469</v>
      </c>
      <c r="N293" t="s">
        <v>452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f>VLOOKUP(A294,'[1]15.10'!$A:$E,5,0)</f>
        <v>46308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469</v>
      </c>
      <c r="N294" t="s">
        <v>452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f>VLOOKUP(A295,'[1]15.10'!$A:$E,5,0)</f>
        <v>46307</v>
      </c>
      <c r="C295">
        <f t="shared" ca="1" si="4"/>
        <v>-2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469</v>
      </c>
      <c r="N295" t="s">
        <v>452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f>VLOOKUP(A296,'[1]15.10'!$A:$E,5,0)</f>
        <v>46308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469</v>
      </c>
      <c r="N296" t="s">
        <v>452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f>VLOOKUP(A297,'[1]15.10'!$A:$E,5,0)</f>
        <v>46308</v>
      </c>
      <c r="C297">
        <f t="shared" ca="1" si="4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469</v>
      </c>
      <c r="N297" t="s">
        <v>452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f>VLOOKUP(A298,'[1]15.10'!$A:$E,5,0)</f>
        <v>46308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469</v>
      </c>
      <c r="N298" t="s">
        <v>452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f>VLOOKUP(A299,'[1]15.10'!$A:$E,5,0)</f>
        <v>46308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469</v>
      </c>
      <c r="N299" t="s">
        <v>452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f>VLOOKUP(A300,'[1]15.10'!$A:$E,5,0)</f>
        <v>46308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469</v>
      </c>
      <c r="N300" t="s">
        <v>452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f>VLOOKUP(A301,'[1]15.10'!$A:$E,5,0)</f>
        <v>46308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469</v>
      </c>
      <c r="N301" t="s">
        <v>452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f>VLOOKUP(A302,'[1]15.10'!$A:$E,5,0)</f>
        <v>46308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469</v>
      </c>
      <c r="N302" t="s">
        <v>452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f>VLOOKUP(A303,'[1]15.10'!$A:$E,5,0)</f>
        <v>46308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29</v>
      </c>
      <c r="M303" t="s">
        <v>469</v>
      </c>
      <c r="N303" t="s">
        <v>452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f>VLOOKUP(A304,'[1]15.10'!$A:$E,5,0)</f>
        <v>46298</v>
      </c>
      <c r="C304">
        <f t="shared" ca="1" si="4"/>
        <v>-11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29</v>
      </c>
      <c r="M304" t="s">
        <v>469</v>
      </c>
      <c r="N304" t="s">
        <v>452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f>VLOOKUP(A305,'[1]15.10'!$A:$E,5,0)</f>
        <v>46308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f>VLOOKUP(A306,'[1]15.10'!$A:$E,5,0)</f>
        <v>46308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f>VLOOKUP(A307,'[1]15.10'!$A:$E,5,0)</f>
        <v>46308</v>
      </c>
      <c r="C307">
        <f t="shared" ca="1" si="4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f>VLOOKUP(A308,'[1]15.10'!$A:$E,5,0)</f>
        <v>46307</v>
      </c>
      <c r="C308">
        <f t="shared" ca="1" si="4"/>
        <v>-2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23</v>
      </c>
      <c r="M308" t="s">
        <v>119</v>
      </c>
      <c r="N308" t="s">
        <v>120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f>VLOOKUP(A309,'[1]15.10'!$A:$E,5,0)</f>
        <v>46308</v>
      </c>
      <c r="C309">
        <f t="shared" ca="1" si="4"/>
        <v>-1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23</v>
      </c>
      <c r="M309" t="s">
        <v>119</v>
      </c>
      <c r="N309" t="s">
        <v>120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f>VLOOKUP(A310,'[1]15.10'!$A:$E,5,0)</f>
        <v>46308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453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f>VLOOKUP(A311,'[1]15.10'!$A:$E,5,0)</f>
        <v>46302</v>
      </c>
      <c r="C311">
        <f t="shared" ca="1" si="4"/>
        <v>-7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453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f>VLOOKUP(A312,'[1]15.10'!$A:$E,5,0)</f>
        <v>46308</v>
      </c>
      <c r="C312">
        <f t="shared" ca="1" si="4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453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f>VLOOKUP(A313,'[1]15.10'!$A:$E,5,0)</f>
        <v>46308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453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f>VLOOKUP(A314,'[1]15.10'!$A:$E,5,0)</f>
        <v>46262</v>
      </c>
      <c r="C314">
        <f t="shared" ca="1" si="4"/>
        <v>-47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12</v>
      </c>
      <c r="M314" t="s">
        <v>24</v>
      </c>
      <c r="N314" t="s">
        <v>453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f>VLOOKUP(A315,'[1]15.10'!$A:$E,5,0)</f>
        <v>46308</v>
      </c>
      <c r="C315">
        <f t="shared" ca="1" si="4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12</v>
      </c>
      <c r="M315" t="s">
        <v>24</v>
      </c>
      <c r="N315" t="s">
        <v>453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f>VLOOKUP(A316,'[1]15.10'!$A:$E,5,0)</f>
        <v>46308</v>
      </c>
      <c r="C316">
        <f t="shared" ca="1" si="4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451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f>VLOOKUP(A317,'[1]15.10'!$A:$E,5,0)</f>
        <v>46307</v>
      </c>
      <c r="C317">
        <f t="shared" ca="1" si="4"/>
        <v>-2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29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f>VLOOKUP(A318,'[1]15.10'!$A:$E,5,0)</f>
        <v>46308</v>
      </c>
      <c r="C318">
        <f t="shared" ca="1" si="4"/>
        <v>-1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29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f>VLOOKUP(A319,'[1]15.10'!$A:$E,5,0)</f>
        <v>46308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118</v>
      </c>
      <c r="K319" t="s">
        <v>33</v>
      </c>
      <c r="L319" t="s">
        <v>12</v>
      </c>
      <c r="M319" t="s">
        <v>24</v>
      </c>
      <c r="N319" t="s">
        <v>453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f>VLOOKUP(A320,'[1]15.10'!$A:$E,5,0)</f>
        <v>46244</v>
      </c>
      <c r="C320">
        <f t="shared" ca="1" si="4"/>
        <v>-65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118</v>
      </c>
      <c r="K320" t="s">
        <v>33</v>
      </c>
      <c r="L320" t="s">
        <v>12</v>
      </c>
      <c r="M320" t="s">
        <v>24</v>
      </c>
      <c r="N320" t="s">
        <v>453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f>VLOOKUP(A321,'[1]15.10'!$A:$E,5,0)</f>
        <v>46308</v>
      </c>
      <c r="C321">
        <f t="shared" ca="1" si="4"/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453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f>VLOOKUP(A322,'[1]15.10'!$A:$E,5,0)</f>
        <v>46306</v>
      </c>
      <c r="C322">
        <f t="shared" ca="1" si="4"/>
        <v>-3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467</v>
      </c>
      <c r="K322" t="s">
        <v>11</v>
      </c>
      <c r="L322" t="s">
        <v>12</v>
      </c>
      <c r="M322" t="s">
        <v>119</v>
      </c>
      <c r="N322" t="s">
        <v>453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f>VLOOKUP(A323,'[1]15.10'!$A:$E,5,0)</f>
        <v>46308</v>
      </c>
      <c r="C323">
        <f t="shared" ref="C323:C386" ca="1" si="5">B323-$R$1</f>
        <v>-1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45</v>
      </c>
      <c r="K323" t="s">
        <v>11</v>
      </c>
      <c r="L323" t="s">
        <v>12</v>
      </c>
      <c r="M323" t="s">
        <v>119</v>
      </c>
      <c r="N323" t="s">
        <v>453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f>VLOOKUP(A324,'[1]15.10'!$A:$E,5,0)</f>
        <v>46307</v>
      </c>
      <c r="C324">
        <f t="shared" ca="1" si="5"/>
        <v>-2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467</v>
      </c>
      <c r="K324" t="s">
        <v>11</v>
      </c>
      <c r="L324" t="s">
        <v>12</v>
      </c>
      <c r="M324" t="s">
        <v>119</v>
      </c>
      <c r="N324" t="s">
        <v>453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f>VLOOKUP(A325,'[1]15.10'!$A:$E,5,0)</f>
        <v>46240</v>
      </c>
      <c r="C325">
        <f t="shared" ca="1" si="5"/>
        <v>-69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467</v>
      </c>
      <c r="K325" t="s">
        <v>11</v>
      </c>
      <c r="L325" t="s">
        <v>12</v>
      </c>
      <c r="M325" t="s">
        <v>119</v>
      </c>
      <c r="N325" t="s">
        <v>453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f>VLOOKUP(A326,'[1]15.10'!$A:$E,5,0)</f>
        <v>46298</v>
      </c>
      <c r="C326">
        <f t="shared" ca="1" si="5"/>
        <v>-11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467</v>
      </c>
      <c r="K326" t="s">
        <v>11</v>
      </c>
      <c r="L326" t="s">
        <v>12</v>
      </c>
      <c r="M326" t="s">
        <v>119</v>
      </c>
      <c r="N326" t="s">
        <v>453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f>VLOOKUP(A327,'[1]15.10'!$A:$E,5,0)</f>
        <v>46308</v>
      </c>
      <c r="C327">
        <f t="shared" ca="1" si="5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467</v>
      </c>
      <c r="K327" t="s">
        <v>11</v>
      </c>
      <c r="L327" t="s">
        <v>12</v>
      </c>
      <c r="M327" t="s">
        <v>119</v>
      </c>
      <c r="N327" t="s">
        <v>453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f>VLOOKUP(A328,'[1]15.10'!$A:$E,5,0)</f>
        <v>46295</v>
      </c>
      <c r="C328">
        <f t="shared" ca="1" si="5"/>
        <v>-14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453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f>VLOOKUP(A329,'[1]15.10'!$A:$E,5,0)</f>
        <v>46304</v>
      </c>
      <c r="C329">
        <f t="shared" ca="1" si="5"/>
        <v>-5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45</v>
      </c>
      <c r="K329" t="s">
        <v>11</v>
      </c>
      <c r="L329" t="s">
        <v>12</v>
      </c>
      <c r="M329" t="s">
        <v>119</v>
      </c>
      <c r="N329" t="s">
        <v>453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f>VLOOKUP(A330,'[1]15.10'!$A:$E,5,0)</f>
        <v>46308</v>
      </c>
      <c r="C330">
        <f t="shared" ca="1" si="5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45</v>
      </c>
      <c r="K330" t="s">
        <v>11</v>
      </c>
      <c r="L330" t="s">
        <v>12</v>
      </c>
      <c r="M330" t="s">
        <v>119</v>
      </c>
      <c r="N330" t="s">
        <v>453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f>VLOOKUP(A331,'[1]15.10'!$A:$E,5,0)</f>
        <v>46308</v>
      </c>
      <c r="C331">
        <f t="shared" ca="1" si="5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12</v>
      </c>
      <c r="M331" t="s">
        <v>178</v>
      </c>
      <c r="N331" t="s">
        <v>450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f>VLOOKUP(A332,'[1]15.10'!$A:$E,5,0)</f>
        <v>46308</v>
      </c>
      <c r="C332">
        <f t="shared" ca="1" si="5"/>
        <v>-1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12</v>
      </c>
      <c r="M332" t="s">
        <v>178</v>
      </c>
      <c r="N332" t="s">
        <v>450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f>VLOOKUP(A333,'[1]15.10'!$A:$E,5,0)</f>
        <v>46308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f>VLOOKUP(A334,'[1]15.10'!$A:$E,5,0)</f>
        <v>46308</v>
      </c>
      <c r="C334">
        <f t="shared" ca="1" si="5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f>VLOOKUP(A335,'[1]15.10'!$A:$E,5,0)</f>
        <v>46308</v>
      </c>
      <c r="C335">
        <f t="shared" ca="1" si="5"/>
        <v>-1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f>VLOOKUP(A336,'[1]15.10'!$A:$E,5,0)</f>
        <v>46308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f>VLOOKUP(A337,'[1]15.10'!$A:$E,5,0)</f>
        <v>46308</v>
      </c>
      <c r="C337">
        <f t="shared" ca="1" si="5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f>VLOOKUP(A338,'[1]15.10'!$A:$E,5,0)</f>
        <v>46308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f>VLOOKUP(A339,'[1]15.10'!$A:$E,5,0)</f>
        <v>46308</v>
      </c>
      <c r="C339">
        <f t="shared" ca="1" si="5"/>
        <v>-1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f>VLOOKUP(A340,'[1]15.10'!$A:$E,5,0)</f>
        <v>46308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f>VLOOKUP(A341,'[1]15.10'!$A:$E,5,0)</f>
        <v>46307</v>
      </c>
      <c r="C341">
        <f t="shared" ca="1" si="5"/>
        <v>-2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f>VLOOKUP(A342,'[1]15.10'!$A:$E,5,0)</f>
        <v>46308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10</v>
      </c>
      <c r="K342" t="s">
        <v>11</v>
      </c>
      <c r="L342" t="s">
        <v>23</v>
      </c>
      <c r="M342" t="s">
        <v>119</v>
      </c>
      <c r="N342" t="s">
        <v>120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f>VLOOKUP(A343,'[1]15.10'!$A:$E,5,0)</f>
        <v>46307</v>
      </c>
      <c r="C343">
        <f t="shared" ca="1" si="5"/>
        <v>-2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10</v>
      </c>
      <c r="K343" t="s">
        <v>11</v>
      </c>
      <c r="L343" t="s">
        <v>23</v>
      </c>
      <c r="M343" t="s">
        <v>119</v>
      </c>
      <c r="N343" t="s">
        <v>120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f>VLOOKUP(A344,'[1]15.10'!$A:$E,5,0)</f>
        <v>46307</v>
      </c>
      <c r="C344">
        <f t="shared" ca="1" si="5"/>
        <v>-2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466</v>
      </c>
      <c r="K344" t="s">
        <v>11</v>
      </c>
      <c r="L344" t="s">
        <v>12</v>
      </c>
      <c r="M344" t="s">
        <v>119</v>
      </c>
      <c r="N344" t="s">
        <v>453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f>VLOOKUP(A345,'[1]15.10'!$A:$E,5,0)</f>
        <v>46308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467</v>
      </c>
      <c r="K345" t="s">
        <v>11</v>
      </c>
      <c r="L345" t="s">
        <v>12</v>
      </c>
      <c r="M345" t="s">
        <v>119</v>
      </c>
      <c r="N345" t="s">
        <v>453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f>VLOOKUP(A346,'[1]15.10'!$A:$E,5,0)</f>
        <v>46308</v>
      </c>
      <c r="C346">
        <f t="shared" ca="1" si="5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466</v>
      </c>
      <c r="K346" t="s">
        <v>11</v>
      </c>
      <c r="L346" t="s">
        <v>12</v>
      </c>
      <c r="M346" t="s">
        <v>119</v>
      </c>
      <c r="N346" t="s">
        <v>453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f>VLOOKUP(A347,'[1]15.10'!$A:$E,5,0)</f>
        <v>46307</v>
      </c>
      <c r="C347">
        <f t="shared" ca="1" si="5"/>
        <v>-2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466</v>
      </c>
      <c r="K347" t="s">
        <v>11</v>
      </c>
      <c r="L347" t="s">
        <v>12</v>
      </c>
      <c r="M347" t="s">
        <v>119</v>
      </c>
      <c r="N347" t="s">
        <v>453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f>VLOOKUP(A348,'[1]15.10'!$A:$E,5,0)</f>
        <v>46308</v>
      </c>
      <c r="C348">
        <f t="shared" ca="1" si="5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467</v>
      </c>
      <c r="K348" t="s">
        <v>11</v>
      </c>
      <c r="L348" t="s">
        <v>12</v>
      </c>
      <c r="M348" t="s">
        <v>119</v>
      </c>
      <c r="N348" t="s">
        <v>453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f>VLOOKUP(A349,'[1]15.10'!$A:$E,5,0)</f>
        <v>46308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467</v>
      </c>
      <c r="K349" t="s">
        <v>11</v>
      </c>
      <c r="L349" t="s">
        <v>12</v>
      </c>
      <c r="M349" t="s">
        <v>119</v>
      </c>
      <c r="N349" t="s">
        <v>453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f>VLOOKUP(A350,'[1]15.10'!$A:$E,5,0)</f>
        <v>46308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466</v>
      </c>
      <c r="K350" t="s">
        <v>11</v>
      </c>
      <c r="L350" t="s">
        <v>12</v>
      </c>
      <c r="M350" t="s">
        <v>119</v>
      </c>
      <c r="N350" t="s">
        <v>453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f>VLOOKUP(A351,'[1]15.10'!$A:$E,5,0)</f>
        <v>46308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22</v>
      </c>
      <c r="K351" t="s">
        <v>11</v>
      </c>
      <c r="L351" t="s">
        <v>23</v>
      </c>
      <c r="M351" t="s">
        <v>24</v>
      </c>
      <c r="N351" t="s">
        <v>120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f>VLOOKUP(A352,'[1]15.10'!$A:$E,5,0)</f>
        <v>46308</v>
      </c>
      <c r="C352">
        <f t="shared" ca="1" si="5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465</v>
      </c>
      <c r="K352" t="s">
        <v>11</v>
      </c>
      <c r="L352" t="s">
        <v>12</v>
      </c>
      <c r="M352" t="s">
        <v>119</v>
      </c>
      <c r="N352" t="s">
        <v>453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f>VLOOKUP(A353,'[1]15.10'!$A:$E,5,0)</f>
        <v>46308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465</v>
      </c>
      <c r="K353" t="s">
        <v>11</v>
      </c>
      <c r="L353" t="s">
        <v>12</v>
      </c>
      <c r="M353" t="s">
        <v>119</v>
      </c>
      <c r="N353" t="s">
        <v>453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f>VLOOKUP(A354,'[1]15.10'!$A:$E,5,0)</f>
        <v>46308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465</v>
      </c>
      <c r="K354" t="s">
        <v>11</v>
      </c>
      <c r="L354" t="s">
        <v>12</v>
      </c>
      <c r="M354" t="s">
        <v>119</v>
      </c>
      <c r="N354" t="s">
        <v>453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f>VLOOKUP(A355,'[1]15.10'!$A:$E,5,0)</f>
        <v>46307</v>
      </c>
      <c r="C355">
        <f t="shared" ca="1" si="5"/>
        <v>-2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101</v>
      </c>
      <c r="K355" t="s">
        <v>11</v>
      </c>
      <c r="L355" t="s">
        <v>29</v>
      </c>
      <c r="M355" t="s">
        <v>119</v>
      </c>
      <c r="N355" t="s">
        <v>451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f>VLOOKUP(A356,'[1]15.10'!$A:$E,5,0)</f>
        <v>46307</v>
      </c>
      <c r="C356">
        <f t="shared" ca="1" si="5"/>
        <v>-2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28</v>
      </c>
      <c r="K356" t="s">
        <v>11</v>
      </c>
      <c r="L356" t="s">
        <v>29</v>
      </c>
      <c r="M356" t="s">
        <v>119</v>
      </c>
      <c r="N356" t="s">
        <v>451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f>VLOOKUP(A357,'[1]15.10'!$A:$E,5,0)</f>
        <v>46307</v>
      </c>
      <c r="C357">
        <f t="shared" ca="1" si="5"/>
        <v>-2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28</v>
      </c>
      <c r="K357" t="s">
        <v>11</v>
      </c>
      <c r="L357" t="s">
        <v>29</v>
      </c>
      <c r="M357" t="s">
        <v>119</v>
      </c>
      <c r="N357" t="s">
        <v>451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f>VLOOKUP(A358,'[1]15.10'!$A:$E,5,0)</f>
        <v>46308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101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f>VLOOKUP(A359,'[1]15.10'!$A:$E,5,0)</f>
        <v>46298</v>
      </c>
      <c r="C359">
        <f t="shared" ca="1" si="5"/>
        <v>-11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101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f>VLOOKUP(A360,'[1]15.10'!$A:$E,5,0)</f>
        <v>46304</v>
      </c>
      <c r="C360">
        <f t="shared" ca="1" si="5"/>
        <v>-5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28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f>VLOOKUP(A361,'[1]15.10'!$A:$E,5,0)</f>
        <v>46308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28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f>VLOOKUP(A362,'[1]15.10'!$A:$E,5,0)</f>
        <v>46300</v>
      </c>
      <c r="C362">
        <f t="shared" ca="1" si="5"/>
        <v>-9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101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f>VLOOKUP(A363,'[1]15.10'!$A:$E,5,0)</f>
        <v>46308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f>VLOOKUP(A364,'[1]15.10'!$A:$E,5,0)</f>
        <v>46307</v>
      </c>
      <c r="C364">
        <f t="shared" ca="1" si="5"/>
        <v>-2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28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f>VLOOKUP(A365,'[1]15.10'!$A:$E,5,0)</f>
        <v>46308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101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f>VLOOKUP(A366,'[1]15.10'!$A:$E,5,0)</f>
        <v>46292</v>
      </c>
      <c r="C366">
        <f t="shared" ca="1" si="5"/>
        <v>-17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23</v>
      </c>
      <c r="M366" t="s">
        <v>119</v>
      </c>
      <c r="N366" t="s">
        <v>120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f>VLOOKUP(A367,'[1]15.10'!$A:$E,5,0)</f>
        <v>46308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23</v>
      </c>
      <c r="M367" t="s">
        <v>119</v>
      </c>
      <c r="N367" t="s">
        <v>120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f>VLOOKUP(A368,'[1]15.10'!$A:$E,5,0)</f>
        <v>46308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451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f>VLOOKUP(A369,'[1]15.10'!$A:$E,5,0)</f>
        <v>46307</v>
      </c>
      <c r="C369">
        <f t="shared" ca="1" si="5"/>
        <v>-2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451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f>VLOOKUP(A370,'[1]15.10'!$A:$E,5,0)</f>
        <v>46307</v>
      </c>
      <c r="C370">
        <f t="shared" ca="1" si="5"/>
        <v>-2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451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f>VLOOKUP(A371,'[1]15.10'!$A:$E,5,0)</f>
        <v>46307</v>
      </c>
      <c r="C371">
        <f t="shared" ca="1" si="5"/>
        <v>-2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451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f>VLOOKUP(A372,'[1]15.10'!$A:$E,5,0)</f>
        <v>46308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29</v>
      </c>
      <c r="M372" t="s">
        <v>119</v>
      </c>
      <c r="N372" t="s">
        <v>451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f>VLOOKUP(A373,'[1]15.10'!$A:$E,5,0)</f>
        <v>46307</v>
      </c>
      <c r="C373">
        <f t="shared" ca="1" si="5"/>
        <v>-2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29</v>
      </c>
      <c r="M373" t="s">
        <v>119</v>
      </c>
      <c r="N373" t="s">
        <v>451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f>VLOOKUP(A374,'[1]15.10'!$A:$E,5,0)</f>
        <v>46308</v>
      </c>
      <c r="C374">
        <f t="shared" ca="1" si="5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f>VLOOKUP(A375,'[1]15.10'!$A:$E,5,0)</f>
        <v>46308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f>VLOOKUP(A376,'[1]15.10'!$A:$E,5,0)</f>
        <v>46308</v>
      </c>
      <c r="C376">
        <f t="shared" ca="1" si="5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f>VLOOKUP(A377,'[1]15.10'!$A:$E,5,0)</f>
        <v>46307</v>
      </c>
      <c r="C377">
        <f t="shared" ca="1" si="5"/>
        <v>-2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f>VLOOKUP(A378,'[1]15.10'!$A:$E,5,0)</f>
        <v>46306</v>
      </c>
      <c r="C378">
        <f t="shared" ca="1" si="5"/>
        <v>-3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f>VLOOKUP(A379,'[1]15.10'!$A:$E,5,0)</f>
        <v>46308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f>VLOOKUP(A380,'[1]15.10'!$A:$E,5,0)</f>
        <v>46307</v>
      </c>
      <c r="C380">
        <f t="shared" ca="1" si="5"/>
        <v>-2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</v>
      </c>
      <c r="K380" t="s">
        <v>11</v>
      </c>
      <c r="L380" t="s">
        <v>23</v>
      </c>
      <c r="M380" t="s">
        <v>119</v>
      </c>
      <c r="N380" t="s">
        <v>120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f>VLOOKUP(A381,'[1]15.10'!$A:$E,5,0)</f>
        <v>46307</v>
      </c>
      <c r="C381">
        <f t="shared" ca="1" si="5"/>
        <v>-2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f>VLOOKUP(A382,'[1]15.10'!$A:$E,5,0)</f>
        <v>46308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29</v>
      </c>
      <c r="M382" t="s">
        <v>119</v>
      </c>
      <c r="N382" t="s">
        <v>451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f>VLOOKUP(A383,'[1]15.10'!$A:$E,5,0)</f>
        <v>46308</v>
      </c>
      <c r="C383">
        <f t="shared" ca="1" si="5"/>
        <v>-1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225</v>
      </c>
      <c r="K383" t="s">
        <v>11</v>
      </c>
      <c r="L383" t="s">
        <v>23</v>
      </c>
      <c r="M383" t="s">
        <v>119</v>
      </c>
      <c r="N383" t="s">
        <v>120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f>VLOOKUP(A384,'[1]15.10'!$A:$E,5,0)</f>
        <v>46308</v>
      </c>
      <c r="C384">
        <f t="shared" ca="1" si="5"/>
        <v>-1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225</v>
      </c>
      <c r="K384" t="s">
        <v>11</v>
      </c>
      <c r="L384" t="s">
        <v>23</v>
      </c>
      <c r="M384" t="s">
        <v>119</v>
      </c>
      <c r="N384" t="s">
        <v>120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f>VLOOKUP(A385,'[1]15.10'!$A:$E,5,0)</f>
        <v>46308</v>
      </c>
      <c r="C385">
        <f t="shared" ca="1" si="5"/>
        <v>-1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453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f>VLOOKUP(A386,'[1]15.10'!$A:$E,5,0)</f>
        <v>46299</v>
      </c>
      <c r="C386">
        <f t="shared" ca="1" si="5"/>
        <v>-10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453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f>VLOOKUP(A387,'[1]15.10'!$A:$E,5,0)</f>
        <v>46308</v>
      </c>
      <c r="C387">
        <f t="shared" ref="C387:C394" ca="1" si="6">B387-$R$1</f>
        <v>-1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118</v>
      </c>
      <c r="K387" t="s">
        <v>33</v>
      </c>
      <c r="L387" t="s">
        <v>12</v>
      </c>
      <c r="M387" t="s">
        <v>24</v>
      </c>
      <c r="N387" t="s">
        <v>453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f>VLOOKUP(A388,'[1]15.10'!$A:$E,5,0)</f>
        <v>46308</v>
      </c>
      <c r="C388">
        <f t="shared" ca="1" si="6"/>
        <v>-1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118</v>
      </c>
      <c r="K388" t="s">
        <v>33</v>
      </c>
      <c r="L388" t="s">
        <v>12</v>
      </c>
      <c r="M388" t="s">
        <v>24</v>
      </c>
      <c r="N388" t="s">
        <v>120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f>VLOOKUP(A389,'[1]15.10'!$A:$E,5,0)</f>
        <v>0</v>
      </c>
      <c r="C389">
        <f t="shared" ca="1" si="6"/>
        <v>-46309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464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f>VLOOKUP(A390,'[1]15.10'!$A:$E,5,0)</f>
        <v>0</v>
      </c>
      <c r="C390">
        <f t="shared" ca="1" si="6"/>
        <v>-46309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464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f>VLOOKUP(A391,'[1]15.10'!$A:$E,5,0)</f>
        <v>0</v>
      </c>
      <c r="C391">
        <f t="shared" ca="1" si="6"/>
        <v>-46309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61</v>
      </c>
      <c r="K391" t="s">
        <v>11</v>
      </c>
      <c r="L391" t="s">
        <v>12</v>
      </c>
      <c r="M391" t="s">
        <v>88</v>
      </c>
      <c r="N391" t="s">
        <v>464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f>VLOOKUP(A392,'[1]15.10'!$A:$E,5,0)</f>
        <v>0</v>
      </c>
      <c r="C392">
        <f t="shared" ca="1" si="6"/>
        <v>-46309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61</v>
      </c>
      <c r="K392" t="s">
        <v>11</v>
      </c>
      <c r="L392" t="s">
        <v>12</v>
      </c>
      <c r="M392" t="s">
        <v>88</v>
      </c>
      <c r="N392" t="s">
        <v>464</v>
      </c>
      <c r="P392" s="2">
        <v>46023</v>
      </c>
      <c r="Q392" s="2">
        <v>46023</v>
      </c>
    </row>
    <row r="393" spans="1:17" x14ac:dyDescent="0.3">
      <c r="A393" t="s">
        <v>446</v>
      </c>
      <c r="B393" s="2">
        <f>VLOOKUP(A393,'[1]15.10'!$A:$E,5,0)</f>
        <v>46308</v>
      </c>
      <c r="C393">
        <f t="shared" ca="1" si="6"/>
        <v>-1</v>
      </c>
      <c r="D393" t="s">
        <v>184</v>
      </c>
      <c r="E393" t="s">
        <v>184</v>
      </c>
      <c r="F393" t="s">
        <v>184</v>
      </c>
      <c r="G393" t="s">
        <v>184</v>
      </c>
      <c r="H393" t="s">
        <v>184</v>
      </c>
      <c r="I393" t="s">
        <v>184</v>
      </c>
      <c r="J393" t="s">
        <v>10</v>
      </c>
      <c r="K393" t="s">
        <v>11</v>
      </c>
      <c r="L393" t="s">
        <v>12</v>
      </c>
      <c r="M393" t="s">
        <v>178</v>
      </c>
      <c r="N393" t="s">
        <v>450</v>
      </c>
      <c r="P393" s="2">
        <v>46023</v>
      </c>
      <c r="Q393" s="2">
        <v>46023</v>
      </c>
    </row>
    <row r="394" spans="1:17" x14ac:dyDescent="0.3">
      <c r="A394" t="s">
        <v>447</v>
      </c>
      <c r="B394" s="2">
        <f>VLOOKUP(A394,'[1]15.10'!$A:$E,5,0)</f>
        <v>46307</v>
      </c>
      <c r="C394">
        <f t="shared" ca="1" si="6"/>
        <v>-2</v>
      </c>
      <c r="D394" t="s">
        <v>184</v>
      </c>
      <c r="E394" t="s">
        <v>184</v>
      </c>
      <c r="F394" t="s">
        <v>184</v>
      </c>
      <c r="G394" t="s">
        <v>184</v>
      </c>
      <c r="H394" t="s">
        <v>184</v>
      </c>
      <c r="I394" t="s">
        <v>184</v>
      </c>
      <c r="J394" t="s">
        <v>10</v>
      </c>
      <c r="K394" t="s">
        <v>11</v>
      </c>
      <c r="L394" t="s">
        <v>12</v>
      </c>
      <c r="M394" t="s">
        <v>178</v>
      </c>
      <c r="N394" t="s">
        <v>453</v>
      </c>
      <c r="P394" s="2">
        <v>46023</v>
      </c>
      <c r="Q394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2026-10-14T18:10:32Z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