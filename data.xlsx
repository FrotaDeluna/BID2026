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124" documentId="11_1BA57A0BCA357D1375850D421C43AE8381E2225B" xr6:coauthVersionLast="47" xr6:coauthVersionMax="47" xr10:uidLastSave="{7395330A-15F7-4931-89AE-CA4C79DC4C5D}"/>
  <bookViews>
    <workbookView xWindow="-108" yWindow="-108" windowWidth="23256" windowHeight="12456" xr2:uid="{00000000-000D-0000-FFFF-FFFF00000000}"/>
  </bookViews>
  <sheets>
    <sheet name="Placas_BID2026" sheetId="1" r:id="rId1"/>
  </sheets>
  <externalReferences>
    <externalReference r:id="rId2"/>
  </externalReferences>
  <definedNames>
    <definedName name="_xlnm._FilterDatabase" localSheetId="0" hidden="1">Placas_BID2026!$A$1:$Q$172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2" i="1"/>
  <c r="R1" i="1"/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<sst xmlns="http://schemas.openxmlformats.org/spreadsheetml/2006/main" count="2063" uniqueCount="227">
  <si>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</si>
  <si>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</si>
  <si>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</si>
  <si>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</si>
  <si>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</si>
  <si>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</si>
  <si>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</si>
  <si>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</si>
  <si>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</si>
  <si>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</si>
  <si>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</si>
  <si>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</si>
  <si>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</si>
  <si>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</si>
  <si>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</si>
  <si>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</si>
  <si>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</si>
  <si>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SES1 - Serra (Vitória)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</si>
  <si>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</si>
  <si>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</si>
  <si>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</si>
  <si>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</si>
  <si>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</si>
  <si>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</si>
  <si>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</si>
  <si>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</si>
  <si>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</si>
  <si>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</si>
  <si>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</si>
  <si>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</si>
  <si>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</si>
  <si>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</si>
  <si>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</si>
  <si>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</si>
  <si>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</si>
  <si>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</si>
  <si>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</si>
  <si>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</si>
  <si>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</si>
  <si>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</si>
  <si>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</si>
  <si>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</si>
  <si>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</si>
  <si>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</si>
  <si>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</si>
  <si>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</si>
  <si>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</si>
  <si>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</si>
  <si>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</si>
  <si>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</si>
  <si>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</si>
  <si>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</si>
  <si>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</si>
  <si>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</si>
  <si>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</si>
  <si>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</si>
  <si>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</si>
  <si>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</si>
  <si>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</si>
  <si>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</si>
  <si>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</si>
  <si>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</si>
  <si>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</si>
  <si>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</si>
  <si>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</si>
  <si>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</si>
  <si>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</si>
  <si>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</si>
  <si>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</si>
  <si>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</si>
  <si>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</si>
  <si>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</si>
  <si>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</si>
  <si>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</si>
  <si>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</si>
  <si>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</si>
  <si>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</si>
  <si>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</si>
  <si>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</si>
  <si>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</si>
  <si>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</si>
  <si>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</si>
  <si>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</si>
  <si>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</si>
  <si>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</si>
  <si>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</si>
  <si>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</si>
  <si>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</si>
  <si>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</si>
  <si>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Vuc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</si>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</sst>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ISPONIBILIDADE%20X%20UTILIZA&#199;&#195;O/DISPONIBILIDADE%20-%20UTILIZA&#199;&#195;O%20(1).xlsx" TargetMode="External"/><Relationship Id="rId2" Type="http://schemas.openxmlformats.org/officeDocument/2006/relationships/externalLinkPath" Target="https://delunatransportes-my.sharepoint.com/personal/alexsander_miranda_delunatransportes_com_br/Documents/&#193;rea%20de%20Trabalho/DISPONIBILIDADE%20X%20UTILIZA&#199;&#195;O/DISPONIBILIDADE%20-%20UTILIZA&#199;&#195;O%20(1).xlsx" TargetMode="External"/><Relationship Id="rId1" Type="http://schemas.openxmlformats.org/officeDocument/2006/relationships/externalLinkPath" Target="/personal/alexsander_miranda_delunatransportes_com_br/Documents/&#193;rea%20de%20Trabalho/DISPONIBILIDADE%20X%20UTILIZA&#199;&#195;O/DISPONIBILIDADE%20-%20UTILIZA&#199;&#195;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1.10"/>
      <sheetName val="02.10"/>
      <sheetName val="05.10"/>
      <sheetName val="06.10"/>
      <sheetName val="07.10"/>
      <sheetName val="08.10"/>
      <sheetName val="09.10"/>
      <sheetName val="13.10"/>
      <sheetName val="LOGISTIC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DISPONIBILIDADE X UTILIZAÇÃO</v>
          </cell>
        </row>
        <row r="2">
          <cell r="A2" t="str">
            <v>PLACA</v>
          </cell>
          <cell r="B2" t="str">
            <v>BASE</v>
          </cell>
          <cell r="C2" t="str">
            <v>STATUS</v>
          </cell>
          <cell r="D2" t="str">
            <v>LOCADORA</v>
          </cell>
          <cell r="E2" t="str">
            <v>DATA BIPAGEM</v>
          </cell>
        </row>
        <row r="3">
          <cell r="A3" t="str">
            <v>SDQ2A40</v>
          </cell>
          <cell r="B3" t="str">
            <v>SMG14</v>
          </cell>
          <cell r="C3" t="str">
            <v>SEM DRIVER</v>
          </cell>
          <cell r="D3" t="str">
            <v>LOCALIZA</v>
          </cell>
          <cell r="E3">
            <v>46300</v>
          </cell>
        </row>
        <row r="4">
          <cell r="A4" t="str">
            <v>SDT9F10</v>
          </cell>
          <cell r="B4" t="str">
            <v>SMG14</v>
          </cell>
          <cell r="C4" t="str">
            <v>MANUTENÇÃO</v>
          </cell>
          <cell r="D4" t="str">
            <v>LOCALIZA</v>
          </cell>
          <cell r="E4">
            <v>46167</v>
          </cell>
        </row>
        <row r="5">
          <cell r="A5" t="str">
            <v>SDT9F16</v>
          </cell>
          <cell r="B5" t="str">
            <v>SMG14</v>
          </cell>
          <cell r="C5" t="str">
            <v>MANUTENÇÃO / PLACA RESERVA</v>
          </cell>
          <cell r="D5" t="str">
            <v>LOCALIZA</v>
          </cell>
          <cell r="E5">
            <v>46286</v>
          </cell>
        </row>
        <row r="6">
          <cell r="A6" t="str">
            <v>SDT9F21</v>
          </cell>
          <cell r="B6" t="str">
            <v>SMG14</v>
          </cell>
          <cell r="C6" t="str">
            <v>ATIVA</v>
          </cell>
          <cell r="D6" t="str">
            <v>LOCALIZA</v>
          </cell>
          <cell r="E6">
            <v>46301</v>
          </cell>
        </row>
        <row r="7">
          <cell r="A7" t="str">
            <v>SDT9F24</v>
          </cell>
          <cell r="B7" t="str">
            <v>SMG14</v>
          </cell>
          <cell r="C7" t="str">
            <v>ATIVA</v>
          </cell>
          <cell r="D7" t="str">
            <v>LOCALIZA</v>
          </cell>
          <cell r="E7">
            <v>46299</v>
          </cell>
        </row>
        <row r="8">
          <cell r="A8" t="str">
            <v>SDT9F26</v>
          </cell>
          <cell r="B8" t="str">
            <v>SMG14</v>
          </cell>
          <cell r="C8" t="str">
            <v>ATIVA</v>
          </cell>
          <cell r="D8" t="str">
            <v>LOCALIZA</v>
          </cell>
          <cell r="E8">
            <v>46302</v>
          </cell>
        </row>
        <row r="9">
          <cell r="A9" t="str">
            <v>SDT9F32</v>
          </cell>
          <cell r="B9" t="str">
            <v>SMG14</v>
          </cell>
          <cell r="C9" t="str">
            <v>MANUTENÇÃO / PLACA RESERVA</v>
          </cell>
          <cell r="D9" t="str">
            <v>LOCALIZA</v>
          </cell>
          <cell r="E9">
            <v>46281</v>
          </cell>
        </row>
        <row r="10">
          <cell r="A10" t="str">
            <v>SDQ2C14</v>
          </cell>
          <cell r="B10" t="str">
            <v>SRJ8</v>
          </cell>
          <cell r="C10" t="str">
            <v>MANUTENÇÃO</v>
          </cell>
          <cell r="D10" t="str">
            <v>LOCALIZA</v>
          </cell>
          <cell r="E10">
            <v>46299</v>
          </cell>
        </row>
        <row r="11">
          <cell r="A11" t="str">
            <v>SDQ2C15</v>
          </cell>
          <cell r="B11" t="str">
            <v>SRJ8</v>
          </cell>
          <cell r="C11" t="str">
            <v>MANUTENÇÃO</v>
          </cell>
          <cell r="D11" t="str">
            <v>LOCALIZA</v>
          </cell>
          <cell r="E11">
            <v>46037</v>
          </cell>
        </row>
        <row r="12">
          <cell r="A12" t="str">
            <v>SDQ2C16</v>
          </cell>
          <cell r="B12" t="str">
            <v>SRJ8</v>
          </cell>
          <cell r="C12" t="str">
            <v>ATIVA</v>
          </cell>
          <cell r="D12" t="str">
            <v>LOCALIZA</v>
          </cell>
          <cell r="E12">
            <v>46303</v>
          </cell>
        </row>
        <row r="13">
          <cell r="A13" t="str">
            <v>SDQ2C31</v>
          </cell>
          <cell r="B13" t="str">
            <v>SRJ8</v>
          </cell>
          <cell r="C13" t="str">
            <v>ATIVA</v>
          </cell>
          <cell r="D13" t="str">
            <v>LOCALIZA</v>
          </cell>
          <cell r="E13">
            <v>46303</v>
          </cell>
        </row>
        <row r="14">
          <cell r="A14" t="str">
            <v>SRS7F11</v>
          </cell>
          <cell r="B14" t="str">
            <v>SRJ7</v>
          </cell>
          <cell r="C14" t="str">
            <v>ATIVA</v>
          </cell>
          <cell r="D14" t="str">
            <v>DELUNA</v>
          </cell>
          <cell r="E14">
            <v>46303</v>
          </cell>
        </row>
        <row r="15">
          <cell r="A15" t="str">
            <v>TDZ7B52</v>
          </cell>
          <cell r="B15" t="str">
            <v>SMG14</v>
          </cell>
          <cell r="C15" t="str">
            <v>ATIVA</v>
          </cell>
          <cell r="D15" t="str">
            <v>VAMOS</v>
          </cell>
          <cell r="E15">
            <v>46303</v>
          </cell>
        </row>
        <row r="16">
          <cell r="A16" t="str">
            <v>TDZ7B53</v>
          </cell>
          <cell r="B16" t="str">
            <v>SMG14</v>
          </cell>
          <cell r="C16" t="str">
            <v>MANUTENÇÃO</v>
          </cell>
          <cell r="D16" t="str">
            <v>VAMOS</v>
          </cell>
          <cell r="E16">
            <v>46263</v>
          </cell>
        </row>
        <row r="17">
          <cell r="A17" t="str">
            <v>TDZ7B61</v>
          </cell>
          <cell r="B17" t="str">
            <v>SMG14</v>
          </cell>
          <cell r="C17" t="str">
            <v>ATIVA</v>
          </cell>
          <cell r="D17" t="str">
            <v>VAMOS</v>
          </cell>
          <cell r="E17">
            <v>46303</v>
          </cell>
        </row>
        <row r="18">
          <cell r="A18" t="str">
            <v>TDZ7B42</v>
          </cell>
          <cell r="B18" t="str">
            <v>SMG14</v>
          </cell>
          <cell r="C18" t="str">
            <v>ATIVA</v>
          </cell>
          <cell r="D18" t="str">
            <v>VAMOS</v>
          </cell>
          <cell r="E18">
            <v>46303</v>
          </cell>
        </row>
        <row r="19">
          <cell r="A19" t="str">
            <v>TDZ7B50</v>
          </cell>
          <cell r="B19" t="str">
            <v>SMG14</v>
          </cell>
          <cell r="C19" t="str">
            <v>ATIVA</v>
          </cell>
          <cell r="D19" t="str">
            <v>VAMOS</v>
          </cell>
          <cell r="E19">
            <v>46303</v>
          </cell>
        </row>
        <row r="20">
          <cell r="A20" t="str">
            <v>TDZ7B54</v>
          </cell>
          <cell r="B20" t="str">
            <v>SMG14</v>
          </cell>
          <cell r="C20" t="str">
            <v>ATIVA</v>
          </cell>
          <cell r="D20" t="str">
            <v>VAMOS</v>
          </cell>
          <cell r="E20">
            <v>46303</v>
          </cell>
        </row>
        <row r="21">
          <cell r="A21" t="str">
            <v>TDZ7B59</v>
          </cell>
          <cell r="B21" t="str">
            <v>SMG14</v>
          </cell>
          <cell r="C21" t="str">
            <v>MANUTENÇÃO</v>
          </cell>
          <cell r="D21" t="str">
            <v>VAMOS</v>
          </cell>
          <cell r="E21">
            <v>46302</v>
          </cell>
        </row>
        <row r="22">
          <cell r="A22" t="str">
            <v>TDZ7C34</v>
          </cell>
          <cell r="B22" t="str">
            <v>SMG14</v>
          </cell>
          <cell r="C22" t="str">
            <v>ATIVA</v>
          </cell>
          <cell r="D22" t="str">
            <v>VAMOS</v>
          </cell>
          <cell r="E22">
            <v>46303</v>
          </cell>
        </row>
        <row r="23">
          <cell r="A23" t="str">
            <v>TDZ7C37</v>
          </cell>
          <cell r="B23" t="str">
            <v>SMG14</v>
          </cell>
          <cell r="C23" t="str">
            <v>ATIVA</v>
          </cell>
          <cell r="D23" t="str">
            <v>VAMOS</v>
          </cell>
          <cell r="E23">
            <v>46303</v>
          </cell>
        </row>
        <row r="24">
          <cell r="A24" t="str">
            <v>TDZ7C41</v>
          </cell>
          <cell r="B24" t="str">
            <v>SMG14</v>
          </cell>
          <cell r="C24" t="str">
            <v>ATIVA</v>
          </cell>
          <cell r="D24" t="str">
            <v>VAMOS</v>
          </cell>
          <cell r="E24">
            <v>46303</v>
          </cell>
        </row>
        <row r="25">
          <cell r="A25" t="str">
            <v>TEA5B48</v>
          </cell>
          <cell r="B25" t="str">
            <v>SMG14</v>
          </cell>
          <cell r="C25" t="str">
            <v>ATIVA</v>
          </cell>
          <cell r="D25" t="str">
            <v>VAMOS</v>
          </cell>
          <cell r="E25">
            <v>46303</v>
          </cell>
        </row>
        <row r="26">
          <cell r="A26" t="str">
            <v>TEB5I93</v>
          </cell>
          <cell r="B26" t="str">
            <v>SMG14</v>
          </cell>
          <cell r="C26" t="str">
            <v>MANUTENÇÃO</v>
          </cell>
          <cell r="D26" t="str">
            <v>VAMOS</v>
          </cell>
          <cell r="E26">
            <v>46300</v>
          </cell>
        </row>
        <row r="27">
          <cell r="A27" t="str">
            <v>TEB5I94</v>
          </cell>
          <cell r="B27" t="str">
            <v>SMG14</v>
          </cell>
          <cell r="C27" t="str">
            <v>ATIVA</v>
          </cell>
          <cell r="D27" t="str">
            <v>VAMOS</v>
          </cell>
          <cell r="E27">
            <v>46303</v>
          </cell>
        </row>
        <row r="28">
          <cell r="A28" t="str">
            <v>SSA1J95</v>
          </cell>
          <cell r="B28" t="str">
            <v>SMG3</v>
          </cell>
          <cell r="C28" t="str">
            <v>ATIVA</v>
          </cell>
          <cell r="D28" t="str">
            <v>DELUNA</v>
          </cell>
          <cell r="E28">
            <v>46303</v>
          </cell>
        </row>
        <row r="29">
          <cell r="A29" t="str">
            <v>SSA1J96</v>
          </cell>
          <cell r="B29" t="str">
            <v>SMG3</v>
          </cell>
          <cell r="C29" t="str">
            <v>ATIVA</v>
          </cell>
          <cell r="D29" t="str">
            <v>DELUNA</v>
          </cell>
          <cell r="E29">
            <v>46303</v>
          </cell>
        </row>
        <row r="30">
          <cell r="A30" t="str">
            <v>SSA1J98</v>
          </cell>
          <cell r="B30" t="str">
            <v>SMG3</v>
          </cell>
          <cell r="C30" t="str">
            <v>MANUTENÇÃO</v>
          </cell>
          <cell r="D30" t="str">
            <v>DELUNA</v>
          </cell>
          <cell r="E30">
            <v>46303</v>
          </cell>
        </row>
        <row r="31">
          <cell r="A31" t="str">
            <v>SSA2A03</v>
          </cell>
          <cell r="B31" t="str">
            <v>SMG3</v>
          </cell>
          <cell r="C31" t="str">
            <v>MANUTENÇÃO</v>
          </cell>
          <cell r="D31" t="str">
            <v>DELUNA</v>
          </cell>
          <cell r="E31">
            <v>46285</v>
          </cell>
        </row>
        <row r="32">
          <cell r="A32" t="str">
            <v>SSB4J53</v>
          </cell>
          <cell r="B32" t="str">
            <v>SMG3</v>
          </cell>
          <cell r="C32" t="str">
            <v>MANUTENÇÃO</v>
          </cell>
          <cell r="D32" t="str">
            <v>DELUNA</v>
          </cell>
          <cell r="E32">
            <v>46303</v>
          </cell>
        </row>
        <row r="33">
          <cell r="A33" t="str">
            <v>SSB4J58</v>
          </cell>
          <cell r="B33" t="str">
            <v>SMG3</v>
          </cell>
          <cell r="C33" t="str">
            <v>ATIVA</v>
          </cell>
          <cell r="D33" t="str">
            <v>DELUNA</v>
          </cell>
          <cell r="E33">
            <v>46302</v>
          </cell>
        </row>
        <row r="34">
          <cell r="A34" t="str">
            <v>SSB4J68</v>
          </cell>
          <cell r="B34" t="str">
            <v>SMG3</v>
          </cell>
          <cell r="C34" t="str">
            <v>ATIVA</v>
          </cell>
          <cell r="D34" t="str">
            <v>DELUNA</v>
          </cell>
          <cell r="E34">
            <v>46303</v>
          </cell>
        </row>
        <row r="35">
          <cell r="A35" t="str">
            <v>SSB4J74</v>
          </cell>
          <cell r="B35" t="str">
            <v>SMG3</v>
          </cell>
          <cell r="C35" t="str">
            <v>ATIVA</v>
          </cell>
          <cell r="D35" t="str">
            <v>DELUNA</v>
          </cell>
          <cell r="E35">
            <v>46303</v>
          </cell>
        </row>
        <row r="36">
          <cell r="A36" t="str">
            <v>SSB4J82</v>
          </cell>
          <cell r="B36" t="str">
            <v>SMG3</v>
          </cell>
          <cell r="C36" t="str">
            <v>ATIVA</v>
          </cell>
          <cell r="D36" t="str">
            <v>DELUNA</v>
          </cell>
          <cell r="E36">
            <v>46303</v>
          </cell>
        </row>
        <row r="37">
          <cell r="A37" t="str">
            <v>SSD1A72</v>
          </cell>
          <cell r="B37" t="str">
            <v>SMG3</v>
          </cell>
          <cell r="C37" t="str">
            <v>ATIVA</v>
          </cell>
          <cell r="D37" t="str">
            <v>DELUNA</v>
          </cell>
          <cell r="E37">
            <v>46303</v>
          </cell>
        </row>
        <row r="38">
          <cell r="A38" t="str">
            <v>TBR6F19</v>
          </cell>
          <cell r="B38" t="str">
            <v>SRJ1</v>
          </cell>
          <cell r="C38" t="str">
            <v>ATIVA</v>
          </cell>
          <cell r="D38" t="str">
            <v>TKS</v>
          </cell>
          <cell r="E38">
            <v>46303</v>
          </cell>
        </row>
        <row r="39">
          <cell r="A39" t="str">
            <v>TTA3B51</v>
          </cell>
          <cell r="B39" t="str">
            <v>SRJ10</v>
          </cell>
          <cell r="C39" t="str">
            <v>ATIVA</v>
          </cell>
          <cell r="D39" t="str">
            <v>DELUNA</v>
          </cell>
          <cell r="E39">
            <v>46302</v>
          </cell>
        </row>
        <row r="40">
          <cell r="A40" t="str">
            <v>TTL3J29</v>
          </cell>
          <cell r="B40" t="str">
            <v>SRJ10</v>
          </cell>
          <cell r="C40" t="str">
            <v>ATIVA</v>
          </cell>
          <cell r="D40" t="str">
            <v>DELUNA</v>
          </cell>
          <cell r="E40">
            <v>46303</v>
          </cell>
        </row>
        <row r="41">
          <cell r="A41" t="str">
            <v>TTX1E10</v>
          </cell>
          <cell r="B41" t="str">
            <v>SRJ10</v>
          </cell>
          <cell r="C41" t="str">
            <v>ATIVA</v>
          </cell>
          <cell r="D41" t="str">
            <v>DELUNA</v>
          </cell>
          <cell r="E41">
            <v>46303</v>
          </cell>
        </row>
        <row r="42">
          <cell r="A42" t="str">
            <v>TZK7F85</v>
          </cell>
          <cell r="B42" t="str">
            <v>SRJ10</v>
          </cell>
          <cell r="C42" t="str">
            <v>ATIVA</v>
          </cell>
          <cell r="D42" t="str">
            <v>LOCALIZA</v>
          </cell>
          <cell r="E42">
            <v>46296</v>
          </cell>
        </row>
        <row r="43">
          <cell r="A43" t="str">
            <v>UFY3A87</v>
          </cell>
          <cell r="B43" t="str">
            <v>SRJ10</v>
          </cell>
          <cell r="C43" t="str">
            <v>ATIVA</v>
          </cell>
          <cell r="D43" t="str">
            <v>TKS</v>
          </cell>
          <cell r="E43">
            <v>46303</v>
          </cell>
        </row>
        <row r="44">
          <cell r="A44" t="str">
            <v>SRS7D71</v>
          </cell>
          <cell r="B44" t="str">
            <v>SRJ10</v>
          </cell>
          <cell r="C44" t="str">
            <v>MANUTENÇÃO</v>
          </cell>
          <cell r="D44" t="str">
            <v>DELUNA</v>
          </cell>
          <cell r="E44">
            <v>46292</v>
          </cell>
        </row>
        <row r="45">
          <cell r="A45" t="str">
            <v>SRT1J81</v>
          </cell>
          <cell r="B45" t="str">
            <v>SRJ10</v>
          </cell>
          <cell r="C45" t="str">
            <v>ATIVA</v>
          </cell>
          <cell r="D45" t="str">
            <v>DELUNA</v>
          </cell>
          <cell r="E45">
            <v>46303</v>
          </cell>
        </row>
        <row r="46">
          <cell r="A46" t="str">
            <v>SRT2A11</v>
          </cell>
          <cell r="B46" t="str">
            <v>SRJ10</v>
          </cell>
          <cell r="C46" t="str">
            <v>ATIVA</v>
          </cell>
          <cell r="D46" t="str">
            <v>DELUNA</v>
          </cell>
          <cell r="E46">
            <v>46303</v>
          </cell>
        </row>
        <row r="47">
          <cell r="A47" t="str">
            <v>TTD6H38</v>
          </cell>
          <cell r="B47" t="str">
            <v>SRJ10</v>
          </cell>
          <cell r="C47" t="str">
            <v>ATIVA</v>
          </cell>
          <cell r="D47" t="str">
            <v>DELUNA</v>
          </cell>
          <cell r="E47">
            <v>46303</v>
          </cell>
        </row>
        <row r="48">
          <cell r="A48" t="str">
            <v>TTH0B01</v>
          </cell>
          <cell r="B48" t="str">
            <v>SRJ10</v>
          </cell>
          <cell r="C48" t="str">
            <v>ATIVA</v>
          </cell>
          <cell r="D48" t="str">
            <v>DELUNA</v>
          </cell>
          <cell r="E48">
            <v>46303</v>
          </cell>
        </row>
        <row r="49">
          <cell r="A49" t="str">
            <v>TTJ6D36</v>
          </cell>
          <cell r="B49" t="str">
            <v>SRJ10</v>
          </cell>
          <cell r="C49" t="str">
            <v>ATIVA</v>
          </cell>
          <cell r="D49" t="str">
            <v>DELUNA</v>
          </cell>
          <cell r="E49">
            <v>46303</v>
          </cell>
        </row>
        <row r="50">
          <cell r="A50" t="str">
            <v>TTJ6D38</v>
          </cell>
          <cell r="B50" t="str">
            <v>SRJ10</v>
          </cell>
          <cell r="C50" t="str">
            <v>ATIVA</v>
          </cell>
          <cell r="D50" t="str">
            <v>DELUNA</v>
          </cell>
          <cell r="E50">
            <v>46303</v>
          </cell>
        </row>
        <row r="51">
          <cell r="A51" t="str">
            <v>TTL0B02</v>
          </cell>
          <cell r="B51" t="str">
            <v>SRJ10</v>
          </cell>
          <cell r="C51" t="str">
            <v>ATIVA</v>
          </cell>
          <cell r="D51" t="str">
            <v>DELUNA</v>
          </cell>
          <cell r="E51">
            <v>46303</v>
          </cell>
        </row>
        <row r="52">
          <cell r="A52" t="str">
            <v>TTM3G37</v>
          </cell>
          <cell r="B52" t="str">
            <v>SRJ10</v>
          </cell>
          <cell r="C52" t="str">
            <v>ATIVA</v>
          </cell>
          <cell r="D52" t="str">
            <v>DELUNA</v>
          </cell>
          <cell r="E52">
            <v>46303</v>
          </cell>
        </row>
        <row r="53">
          <cell r="A53" t="str">
            <v>TTN3C89</v>
          </cell>
          <cell r="B53" t="str">
            <v>SRJ10</v>
          </cell>
          <cell r="C53" t="str">
            <v>ATIVA</v>
          </cell>
          <cell r="D53" t="str">
            <v>DELUNA</v>
          </cell>
          <cell r="E53">
            <v>46303</v>
          </cell>
        </row>
        <row r="54">
          <cell r="A54" t="str">
            <v>TTN3C92</v>
          </cell>
          <cell r="B54" t="str">
            <v>SRJ10</v>
          </cell>
          <cell r="C54" t="str">
            <v>ATIVA</v>
          </cell>
          <cell r="D54" t="str">
            <v>DELUNA</v>
          </cell>
          <cell r="E54">
            <v>46303</v>
          </cell>
        </row>
        <row r="55">
          <cell r="A55" t="str">
            <v>TUO0A87</v>
          </cell>
          <cell r="B55" t="str">
            <v>SRJ10</v>
          </cell>
          <cell r="C55" t="str">
            <v>ATIVA</v>
          </cell>
          <cell r="D55" t="str">
            <v>DELUNA</v>
          </cell>
          <cell r="E55">
            <v>46303</v>
          </cell>
        </row>
        <row r="56">
          <cell r="A56" t="str">
            <v>TTA3B63</v>
          </cell>
          <cell r="B56" t="str">
            <v>SRJ10</v>
          </cell>
          <cell r="C56" t="str">
            <v>MANUTENÇÃO</v>
          </cell>
          <cell r="D56" t="str">
            <v>DELUNA</v>
          </cell>
          <cell r="E56">
            <v>46301</v>
          </cell>
        </row>
        <row r="57">
          <cell r="A57" t="str">
            <v>TTL3H83</v>
          </cell>
          <cell r="B57" t="str">
            <v>SRJ10</v>
          </cell>
          <cell r="C57" t="str">
            <v>ATIVA</v>
          </cell>
          <cell r="D57" t="str">
            <v>DELUNA</v>
          </cell>
          <cell r="E57">
            <v>46301</v>
          </cell>
        </row>
        <row r="58">
          <cell r="A58" t="str">
            <v>TTN3E52</v>
          </cell>
          <cell r="B58" t="str">
            <v>SRJ10</v>
          </cell>
          <cell r="C58" t="str">
            <v>ATIVA</v>
          </cell>
          <cell r="D58" t="str">
            <v>DELUNA</v>
          </cell>
          <cell r="E58">
            <v>46302</v>
          </cell>
        </row>
        <row r="59">
          <cell r="A59" t="str">
            <v>TBX2B66</v>
          </cell>
          <cell r="B59" t="str">
            <v>SRJ10</v>
          </cell>
          <cell r="C59" t="str">
            <v>ATIVA</v>
          </cell>
          <cell r="D59" t="str">
            <v>TKS</v>
          </cell>
          <cell r="E59">
            <v>46303</v>
          </cell>
        </row>
        <row r="60">
          <cell r="A60" t="str">
            <v>TBX2B75</v>
          </cell>
          <cell r="B60" t="str">
            <v>SRJ10</v>
          </cell>
          <cell r="C60" t="str">
            <v>SEM DRIVER</v>
          </cell>
          <cell r="D60" t="str">
            <v>TKS</v>
          </cell>
          <cell r="E60">
            <v>46274</v>
          </cell>
        </row>
        <row r="61">
          <cell r="A61" t="str">
            <v>TTR1F28</v>
          </cell>
          <cell r="B61" t="str">
            <v>SRJ10</v>
          </cell>
          <cell r="C61" t="str">
            <v>ATIVA</v>
          </cell>
          <cell r="D61" t="str">
            <v>DELUNA</v>
          </cell>
          <cell r="E61">
            <v>46303</v>
          </cell>
        </row>
        <row r="62">
          <cell r="A62" t="str">
            <v>TBR2J34</v>
          </cell>
          <cell r="B62" t="str">
            <v>SRJ15</v>
          </cell>
          <cell r="C62" t="str">
            <v>ATIVA</v>
          </cell>
          <cell r="D62" t="str">
            <v>TKS</v>
          </cell>
          <cell r="E62">
            <v>46294</v>
          </cell>
        </row>
        <row r="63">
          <cell r="A63" t="str">
            <v>TBR2J35</v>
          </cell>
          <cell r="B63" t="str">
            <v>SRJ13</v>
          </cell>
          <cell r="C63" t="str">
            <v>ATIVA</v>
          </cell>
          <cell r="D63" t="str">
            <v>TKS</v>
          </cell>
          <cell r="E63">
            <v>46303</v>
          </cell>
        </row>
        <row r="64">
          <cell r="A64" t="str">
            <v>TUE1E88</v>
          </cell>
          <cell r="B64" t="str">
            <v>SRJ6</v>
          </cell>
          <cell r="C64" t="str">
            <v>ATIVA</v>
          </cell>
          <cell r="D64" t="str">
            <v>DELUNA</v>
          </cell>
          <cell r="E64">
            <v>46303</v>
          </cell>
        </row>
        <row r="65">
          <cell r="A65" t="str">
            <v>TUM1F15</v>
          </cell>
          <cell r="B65" t="str">
            <v>SRJ6</v>
          </cell>
          <cell r="C65" t="str">
            <v>MANUTENÇÃO</v>
          </cell>
          <cell r="D65" t="str">
            <v>DELUNA</v>
          </cell>
          <cell r="E65">
            <v>46282</v>
          </cell>
        </row>
        <row r="66">
          <cell r="A66" t="str">
            <v>SRS7F24</v>
          </cell>
          <cell r="B66" t="str">
            <v>SRJ7</v>
          </cell>
          <cell r="C66" t="str">
            <v>ATIVA</v>
          </cell>
          <cell r="D66" t="str">
            <v>DELUNA</v>
          </cell>
          <cell r="E66">
            <v>46303</v>
          </cell>
        </row>
        <row r="67">
          <cell r="A67" t="str">
            <v>TAN5C79</v>
          </cell>
          <cell r="B67" t="str">
            <v>SRJ8</v>
          </cell>
          <cell r="C67" t="str">
            <v>MANUTENÇÃO</v>
          </cell>
          <cell r="D67" t="str">
            <v>ARVAL</v>
          </cell>
          <cell r="E67">
            <v>46196</v>
          </cell>
        </row>
        <row r="68">
          <cell r="A68" t="str">
            <v>TAN5C85</v>
          </cell>
          <cell r="B68" t="str">
            <v>SRJ8</v>
          </cell>
          <cell r="C68" t="str">
            <v>MANUTENÇÃO</v>
          </cell>
          <cell r="D68" t="str">
            <v>ARVAL</v>
          </cell>
          <cell r="E68">
            <v>46294</v>
          </cell>
        </row>
        <row r="69">
          <cell r="A69" t="str">
            <v>TAO1A96</v>
          </cell>
          <cell r="B69" t="str">
            <v>SRJ8</v>
          </cell>
          <cell r="C69" t="str">
            <v>ATIVA</v>
          </cell>
          <cell r="D69" t="str">
            <v>ARVAL</v>
          </cell>
          <cell r="E69">
            <v>46303</v>
          </cell>
        </row>
        <row r="70">
          <cell r="A70" t="str">
            <v>TAO1A98</v>
          </cell>
          <cell r="B70" t="str">
            <v>SRJ8</v>
          </cell>
          <cell r="C70" t="str">
            <v>ATIVA</v>
          </cell>
          <cell r="D70" t="str">
            <v>ARVAL</v>
          </cell>
          <cell r="E70">
            <v>46303</v>
          </cell>
        </row>
        <row r="71">
          <cell r="A71" t="str">
            <v>TAO1B30</v>
          </cell>
          <cell r="B71" t="str">
            <v>SRJ8</v>
          </cell>
          <cell r="C71" t="str">
            <v>ATIVA</v>
          </cell>
          <cell r="D71" t="str">
            <v>ARVAL</v>
          </cell>
          <cell r="E71">
            <v>46302</v>
          </cell>
        </row>
        <row r="72">
          <cell r="A72" t="str">
            <v>TAO1B37</v>
          </cell>
          <cell r="B72" t="str">
            <v>SRJ8</v>
          </cell>
          <cell r="C72" t="str">
            <v>MANUTENÇÃO</v>
          </cell>
          <cell r="D72" t="str">
            <v>ARVAL</v>
          </cell>
          <cell r="E72">
            <v>46301</v>
          </cell>
        </row>
        <row r="73">
          <cell r="A73" t="str">
            <v>TAO1B39</v>
          </cell>
          <cell r="B73" t="str">
            <v>SRJ8</v>
          </cell>
          <cell r="C73" t="str">
            <v>ATIVA</v>
          </cell>
          <cell r="D73" t="str">
            <v>ARVAL</v>
          </cell>
          <cell r="E73">
            <v>46303</v>
          </cell>
        </row>
        <row r="74">
          <cell r="A74" t="str">
            <v>TAO1B47</v>
          </cell>
          <cell r="B74" t="str">
            <v>SRJ8</v>
          </cell>
          <cell r="C74" t="str">
            <v>MANUTENÇÃO</v>
          </cell>
          <cell r="D74" t="str">
            <v>ARVAL</v>
          </cell>
          <cell r="E74">
            <v>46207</v>
          </cell>
        </row>
        <row r="75">
          <cell r="A75" t="str">
            <v>TAR8F48</v>
          </cell>
          <cell r="B75" t="str">
            <v>SRJ8</v>
          </cell>
          <cell r="C75" t="str">
            <v>ATIVA</v>
          </cell>
          <cell r="D75" t="str">
            <v>ARVAL</v>
          </cell>
          <cell r="E75">
            <v>46303</v>
          </cell>
        </row>
        <row r="76">
          <cell r="A76" t="str">
            <v>TAS1H24</v>
          </cell>
          <cell r="B76" t="str">
            <v>SRJ8</v>
          </cell>
          <cell r="C76" t="str">
            <v>ATIVA</v>
          </cell>
          <cell r="D76" t="str">
            <v>ARVAL</v>
          </cell>
          <cell r="E76">
            <v>46303</v>
          </cell>
        </row>
        <row r="77">
          <cell r="A77" t="str">
            <v>TAS1H86</v>
          </cell>
          <cell r="B77" t="str">
            <v>SRJ8</v>
          </cell>
          <cell r="C77" t="str">
            <v>ATIVA</v>
          </cell>
          <cell r="D77" t="str">
            <v>ARVAL</v>
          </cell>
          <cell r="E77">
            <v>46303</v>
          </cell>
        </row>
        <row r="78">
          <cell r="A78" t="str">
            <v>TCW4C16</v>
          </cell>
          <cell r="B78" t="str">
            <v>SRJ8</v>
          </cell>
          <cell r="C78" t="str">
            <v>ATIVA</v>
          </cell>
          <cell r="D78" t="str">
            <v>ARVAL</v>
          </cell>
          <cell r="E78">
            <v>46303</v>
          </cell>
        </row>
        <row r="79">
          <cell r="A79" t="str">
            <v>TCW4C25</v>
          </cell>
          <cell r="B79" t="str">
            <v>SRJ8</v>
          </cell>
          <cell r="C79" t="str">
            <v>MANUTENÇÃO</v>
          </cell>
          <cell r="D79" t="str">
            <v>ARVAL</v>
          </cell>
          <cell r="E79">
            <v>46297</v>
          </cell>
        </row>
        <row r="80">
          <cell r="A80" t="str">
            <v>TCW4C36</v>
          </cell>
          <cell r="B80" t="str">
            <v>SRJ8</v>
          </cell>
          <cell r="C80" t="str">
            <v>ATIVA</v>
          </cell>
          <cell r="D80" t="str">
            <v>ARVAL</v>
          </cell>
          <cell r="E80">
            <v>46303</v>
          </cell>
        </row>
        <row r="81">
          <cell r="A81" t="str">
            <v>TDB8H21</v>
          </cell>
          <cell r="B81" t="str">
            <v>SRJ8</v>
          </cell>
          <cell r="C81" t="str">
            <v>ATIVA</v>
          </cell>
          <cell r="D81" t="str">
            <v>ARVAL</v>
          </cell>
          <cell r="E81">
            <v>46303</v>
          </cell>
        </row>
        <row r="82">
          <cell r="A82" t="str">
            <v>TDB8H27</v>
          </cell>
          <cell r="B82" t="str">
            <v>SRJ8</v>
          </cell>
          <cell r="C82" t="str">
            <v>ATIVA</v>
          </cell>
          <cell r="D82" t="str">
            <v>ARVAL</v>
          </cell>
          <cell r="E82">
            <v>46303</v>
          </cell>
        </row>
        <row r="83">
          <cell r="A83" t="str">
            <v>TAT1A57</v>
          </cell>
          <cell r="B83" t="str">
            <v>SRJ8</v>
          </cell>
          <cell r="C83" t="str">
            <v>MANUTENÇÃO</v>
          </cell>
          <cell r="D83" t="str">
            <v>EVM</v>
          </cell>
          <cell r="E83">
            <v>46302</v>
          </cell>
        </row>
        <row r="84">
          <cell r="A84" t="str">
            <v>TAT1A67</v>
          </cell>
          <cell r="B84" t="str">
            <v>SRJ8</v>
          </cell>
          <cell r="C84" t="str">
            <v>MANUTENÇÃO</v>
          </cell>
          <cell r="D84" t="str">
            <v>EVM</v>
          </cell>
          <cell r="E84">
            <v>46177</v>
          </cell>
        </row>
        <row r="85">
          <cell r="A85" t="str">
            <v>TAT1A95</v>
          </cell>
          <cell r="B85" t="str">
            <v>SRJ8</v>
          </cell>
          <cell r="C85" t="str">
            <v>ATIVA</v>
          </cell>
          <cell r="D85" t="str">
            <v>EVM</v>
          </cell>
          <cell r="E85">
            <v>46303</v>
          </cell>
        </row>
        <row r="86">
          <cell r="A86" t="str">
            <v>TAT1B24</v>
          </cell>
          <cell r="B86" t="str">
            <v>SRJ8</v>
          </cell>
          <cell r="C86" t="str">
            <v>MANUTENÇÃO</v>
          </cell>
          <cell r="D86" t="str">
            <v>EVM</v>
          </cell>
          <cell r="E86">
            <v>46299</v>
          </cell>
        </row>
        <row r="87">
          <cell r="A87" t="str">
            <v>TAU3H09</v>
          </cell>
          <cell r="B87" t="str">
            <v>SRJ8</v>
          </cell>
          <cell r="C87" t="str">
            <v>ATIVA</v>
          </cell>
          <cell r="D87" t="str">
            <v>EVM</v>
          </cell>
          <cell r="E87">
            <v>46303</v>
          </cell>
        </row>
        <row r="88">
          <cell r="A88" t="str">
            <v>TBQ3B30</v>
          </cell>
          <cell r="B88" t="str">
            <v>SES1</v>
          </cell>
          <cell r="C88" t="str">
            <v>MANUTENÇÃO</v>
          </cell>
          <cell r="D88" t="str">
            <v>TKS</v>
          </cell>
          <cell r="E88">
            <v>46303</v>
          </cell>
        </row>
        <row r="89">
          <cell r="A89" t="str">
            <v>TBQ3B36</v>
          </cell>
          <cell r="B89" t="str">
            <v>SES1</v>
          </cell>
          <cell r="C89" t="str">
            <v>ATIVA</v>
          </cell>
          <cell r="D89" t="str">
            <v>TKS</v>
          </cell>
          <cell r="E89">
            <v>46303</v>
          </cell>
        </row>
        <row r="90">
          <cell r="A90" t="str">
            <v>TBQ4H52</v>
          </cell>
          <cell r="B90" t="str">
            <v>SES1</v>
          </cell>
          <cell r="C90" t="str">
            <v>ATIVA</v>
          </cell>
          <cell r="D90" t="str">
            <v>TKS</v>
          </cell>
          <cell r="E90">
            <v>46303</v>
          </cell>
        </row>
        <row r="91">
          <cell r="A91" t="str">
            <v>TBQ4H56</v>
          </cell>
          <cell r="B91" t="str">
            <v>SES1</v>
          </cell>
          <cell r="C91" t="str">
            <v>ATIVA</v>
          </cell>
          <cell r="D91" t="str">
            <v>TKS</v>
          </cell>
          <cell r="E91">
            <v>46303</v>
          </cell>
        </row>
        <row r="92">
          <cell r="A92" t="str">
            <v>TBQ4H89</v>
          </cell>
          <cell r="B92" t="str">
            <v>SES1</v>
          </cell>
          <cell r="C92" t="str">
            <v>ATIVA</v>
          </cell>
          <cell r="D92" t="str">
            <v>TKS</v>
          </cell>
          <cell r="E92">
            <v>46302</v>
          </cell>
        </row>
        <row r="93">
          <cell r="A93" t="str">
            <v>TBS8E59</v>
          </cell>
          <cell r="B93" t="str">
            <v>SES1</v>
          </cell>
          <cell r="C93" t="str">
            <v>ATIVA</v>
          </cell>
          <cell r="D93" t="str">
            <v>TKS</v>
          </cell>
          <cell r="E93">
            <v>46303</v>
          </cell>
        </row>
        <row r="94">
          <cell r="A94" t="str">
            <v>TBS8E90</v>
          </cell>
          <cell r="B94" t="str">
            <v>SES1</v>
          </cell>
          <cell r="C94" t="str">
            <v>ATIVA</v>
          </cell>
          <cell r="D94" t="str">
            <v>TKS</v>
          </cell>
          <cell r="E94">
            <v>46303</v>
          </cell>
        </row>
        <row r="95">
          <cell r="A95" t="str">
            <v>TBS8E92</v>
          </cell>
          <cell r="B95" t="str">
            <v>SES1</v>
          </cell>
          <cell r="C95" t="str">
            <v>ATIVA</v>
          </cell>
          <cell r="D95" t="str">
            <v>TKS</v>
          </cell>
          <cell r="E95">
            <v>46303</v>
          </cell>
        </row>
        <row r="96">
          <cell r="A96" t="str">
            <v>TBS8E94</v>
          </cell>
          <cell r="B96" t="str">
            <v>SES1</v>
          </cell>
          <cell r="C96" t="str">
            <v>ATIVA</v>
          </cell>
          <cell r="D96" t="str">
            <v>TKS</v>
          </cell>
          <cell r="E96">
            <v>46303</v>
          </cell>
        </row>
        <row r="97">
          <cell r="A97" t="str">
            <v>TBU8A14</v>
          </cell>
          <cell r="B97" t="str">
            <v>SES1</v>
          </cell>
          <cell r="C97" t="str">
            <v>ATIVA</v>
          </cell>
          <cell r="D97" t="str">
            <v>TKS</v>
          </cell>
          <cell r="E97">
            <v>46303</v>
          </cell>
        </row>
        <row r="98">
          <cell r="A98" t="str">
            <v>TBK4I38</v>
          </cell>
          <cell r="B98" t="str">
            <v>SMG14</v>
          </cell>
          <cell r="C98" t="str">
            <v>ATIVA</v>
          </cell>
          <cell r="D98" t="str">
            <v>ARVAL</v>
          </cell>
          <cell r="E98">
            <v>46266</v>
          </cell>
        </row>
        <row r="99">
          <cell r="A99" t="str">
            <v>TBK4I57</v>
          </cell>
          <cell r="B99" t="str">
            <v>SMG14</v>
          </cell>
          <cell r="C99" t="str">
            <v>ATIVA</v>
          </cell>
          <cell r="D99" t="str">
            <v>ARVAL</v>
          </cell>
          <cell r="E99">
            <v>46302</v>
          </cell>
        </row>
        <row r="100">
          <cell r="A100" t="str">
            <v>TBK4I68</v>
          </cell>
          <cell r="B100" t="str">
            <v>SMG14</v>
          </cell>
          <cell r="C100" t="str">
            <v>ATIVA</v>
          </cell>
          <cell r="D100" t="str">
            <v>ARVAL</v>
          </cell>
          <cell r="E100">
            <v>46303</v>
          </cell>
        </row>
        <row r="101">
          <cell r="A101" t="str">
            <v>TBK9D15</v>
          </cell>
          <cell r="B101" t="str">
            <v>SMG14</v>
          </cell>
          <cell r="C101" t="str">
            <v>ATIVA</v>
          </cell>
          <cell r="D101" t="str">
            <v>ARVAL</v>
          </cell>
          <cell r="E101">
            <v>46303</v>
          </cell>
        </row>
        <row r="102">
          <cell r="A102" t="str">
            <v>TBK9D27</v>
          </cell>
          <cell r="B102" t="str">
            <v>SMG14</v>
          </cell>
          <cell r="C102" t="str">
            <v>ATIVA</v>
          </cell>
          <cell r="D102" t="str">
            <v>ARVAL</v>
          </cell>
          <cell r="E102">
            <v>46303</v>
          </cell>
        </row>
        <row r="103">
          <cell r="A103" t="str">
            <v>TBK9D41</v>
          </cell>
          <cell r="B103" t="str">
            <v>SMG14</v>
          </cell>
          <cell r="C103" t="str">
            <v>ATIVA</v>
          </cell>
          <cell r="D103" t="str">
            <v>ARVAL</v>
          </cell>
          <cell r="E103">
            <v>46303</v>
          </cell>
        </row>
        <row r="104">
          <cell r="A104" t="str">
            <v>TBK9D42</v>
          </cell>
          <cell r="B104" t="str">
            <v>SMG14</v>
          </cell>
          <cell r="C104" t="str">
            <v>ATIVA</v>
          </cell>
          <cell r="D104" t="str">
            <v>ARVAL</v>
          </cell>
          <cell r="E104">
            <v>46303</v>
          </cell>
        </row>
        <row r="105">
          <cell r="A105" t="str">
            <v>TBK9D73</v>
          </cell>
          <cell r="B105" t="str">
            <v>SMG14</v>
          </cell>
          <cell r="C105" t="str">
            <v>MANUTENÇÃO</v>
          </cell>
          <cell r="D105" t="str">
            <v>ARVAL</v>
          </cell>
          <cell r="E105">
            <v>46303</v>
          </cell>
        </row>
        <row r="106">
          <cell r="A106" t="str">
            <v>TBK9E97</v>
          </cell>
          <cell r="B106" t="str">
            <v>SMG14</v>
          </cell>
          <cell r="C106" t="str">
            <v>ATIVA</v>
          </cell>
          <cell r="D106" t="str">
            <v>ARVAL</v>
          </cell>
          <cell r="E106">
            <v>46303</v>
          </cell>
        </row>
        <row r="107">
          <cell r="A107" t="str">
            <v>TBK9F11</v>
          </cell>
          <cell r="B107" t="str">
            <v>SMG14</v>
          </cell>
          <cell r="C107" t="str">
            <v>ATIVA</v>
          </cell>
          <cell r="D107" t="str">
            <v>ARVAL</v>
          </cell>
          <cell r="E107">
            <v>46303</v>
          </cell>
        </row>
        <row r="108">
          <cell r="A108" t="str">
            <v>TBK9F44</v>
          </cell>
          <cell r="B108" t="str">
            <v>SMG14</v>
          </cell>
          <cell r="C108" t="str">
            <v>EM QUARENTENA</v>
          </cell>
          <cell r="D108" t="str">
            <v>ARVAL</v>
          </cell>
          <cell r="E108">
            <v>46091</v>
          </cell>
        </row>
        <row r="109">
          <cell r="A109" t="str">
            <v>TBK9F82</v>
          </cell>
          <cell r="B109" t="str">
            <v>SMG14</v>
          </cell>
          <cell r="C109" t="str">
            <v>ATIVA</v>
          </cell>
          <cell r="D109" t="str">
            <v>ARVAL</v>
          </cell>
          <cell r="E109">
            <v>46303</v>
          </cell>
        </row>
        <row r="110">
          <cell r="A110" t="str">
            <v>TBK9F90</v>
          </cell>
          <cell r="B110" t="str">
            <v>SMG14</v>
          </cell>
          <cell r="C110" t="str">
            <v>ATIVA</v>
          </cell>
          <cell r="D110" t="str">
            <v>ARVAL</v>
          </cell>
          <cell r="E110">
            <v>46303</v>
          </cell>
        </row>
        <row r="111">
          <cell r="A111" t="str">
            <v>TBK4I32</v>
          </cell>
          <cell r="B111" t="str">
            <v>SMG3</v>
          </cell>
          <cell r="C111" t="str">
            <v>ATIVA</v>
          </cell>
          <cell r="D111" t="str">
            <v>ARVAL</v>
          </cell>
          <cell r="E111">
            <v>46303</v>
          </cell>
        </row>
        <row r="112">
          <cell r="A112" t="str">
            <v>TBK9C75</v>
          </cell>
          <cell r="B112" t="str">
            <v>SMG3</v>
          </cell>
          <cell r="C112" t="str">
            <v>ATIVA</v>
          </cell>
          <cell r="D112" t="str">
            <v>ARVAL</v>
          </cell>
          <cell r="E112">
            <v>46303</v>
          </cell>
        </row>
        <row r="113">
          <cell r="A113" t="str">
            <v>TBK9C77</v>
          </cell>
          <cell r="B113" t="str">
            <v>SMG3</v>
          </cell>
          <cell r="C113" t="str">
            <v>ATIVA</v>
          </cell>
          <cell r="D113" t="str">
            <v>ARVAL</v>
          </cell>
          <cell r="E113">
            <v>46303</v>
          </cell>
        </row>
        <row r="114">
          <cell r="A114" t="str">
            <v>TBK9C84</v>
          </cell>
          <cell r="B114" t="str">
            <v>SMG3</v>
          </cell>
          <cell r="C114" t="str">
            <v>ATIVA</v>
          </cell>
          <cell r="D114" t="str">
            <v>ARVAL</v>
          </cell>
          <cell r="E114">
            <v>46303</v>
          </cell>
        </row>
        <row r="115">
          <cell r="A115" t="str">
            <v>TBK9D02</v>
          </cell>
          <cell r="B115" t="str">
            <v>SMG3</v>
          </cell>
          <cell r="C115" t="str">
            <v>ATIVA</v>
          </cell>
          <cell r="D115" t="str">
            <v>ARVAL</v>
          </cell>
          <cell r="E115">
            <v>46303</v>
          </cell>
        </row>
        <row r="116">
          <cell r="A116" t="str">
            <v>TBK9D22</v>
          </cell>
          <cell r="B116" t="str">
            <v>SMG3</v>
          </cell>
          <cell r="C116" t="str">
            <v>ATIVA</v>
          </cell>
          <cell r="D116" t="str">
            <v>ARVAL</v>
          </cell>
          <cell r="E116">
            <v>46303</v>
          </cell>
        </row>
        <row r="117">
          <cell r="A117" t="str">
            <v>TBK9D72</v>
          </cell>
          <cell r="B117" t="str">
            <v>SMG3</v>
          </cell>
          <cell r="C117" t="str">
            <v>ATIVA</v>
          </cell>
          <cell r="D117" t="str">
            <v>ARVAL</v>
          </cell>
          <cell r="E117">
            <v>46303</v>
          </cell>
        </row>
        <row r="118">
          <cell r="A118" t="str">
            <v>TBK9E06</v>
          </cell>
          <cell r="B118" t="str">
            <v>SMG3</v>
          </cell>
          <cell r="C118" t="str">
            <v>ATIVA</v>
          </cell>
          <cell r="D118" t="str">
            <v>ARVAL</v>
          </cell>
          <cell r="E118">
            <v>46303</v>
          </cell>
        </row>
        <row r="119">
          <cell r="A119" t="str">
            <v>TBK9F06</v>
          </cell>
          <cell r="B119" t="str">
            <v>SMG3</v>
          </cell>
          <cell r="C119" t="str">
            <v>ATIVA</v>
          </cell>
          <cell r="D119" t="str">
            <v>ARVAL</v>
          </cell>
          <cell r="E119">
            <v>46303</v>
          </cell>
        </row>
        <row r="120">
          <cell r="A120" t="str">
            <v>TBK9F08</v>
          </cell>
          <cell r="B120" t="str">
            <v>SMG3</v>
          </cell>
          <cell r="C120" t="str">
            <v>ATIVA</v>
          </cell>
          <cell r="D120" t="str">
            <v>ARVAL</v>
          </cell>
          <cell r="E120">
            <v>46303</v>
          </cell>
        </row>
        <row r="121">
          <cell r="A121" t="str">
            <v>TBK9F24</v>
          </cell>
          <cell r="B121" t="str">
            <v>SMG3</v>
          </cell>
          <cell r="C121" t="str">
            <v>ATIVA</v>
          </cell>
          <cell r="D121" t="str">
            <v>ARVAL</v>
          </cell>
          <cell r="E121">
            <v>46303</v>
          </cell>
        </row>
        <row r="122">
          <cell r="A122" t="str">
            <v>TBK9F49</v>
          </cell>
          <cell r="B122" t="str">
            <v>SMG3</v>
          </cell>
          <cell r="C122" t="str">
            <v>MANUTENÇÃO</v>
          </cell>
          <cell r="D122" t="str">
            <v>ARVAL</v>
          </cell>
          <cell r="E122">
            <v>46298</v>
          </cell>
        </row>
        <row r="123">
          <cell r="A123" t="str">
            <v>UAW8I45</v>
          </cell>
          <cell r="B123" t="str">
            <v>SMG3</v>
          </cell>
          <cell r="C123" t="str">
            <v>ATIVA</v>
          </cell>
          <cell r="D123" t="str">
            <v>TKS</v>
          </cell>
          <cell r="E123">
            <v>46303</v>
          </cell>
        </row>
        <row r="124">
          <cell r="A124" t="str">
            <v>UAW8I48</v>
          </cell>
          <cell r="B124" t="str">
            <v>SMG3</v>
          </cell>
          <cell r="C124" t="str">
            <v>ATIVA</v>
          </cell>
          <cell r="D124" t="str">
            <v>TKS</v>
          </cell>
          <cell r="E124">
            <v>46303</v>
          </cell>
        </row>
        <row r="125">
          <cell r="A125" t="str">
            <v>UAW8I53</v>
          </cell>
          <cell r="B125" t="str">
            <v>SMG3</v>
          </cell>
          <cell r="C125" t="str">
            <v>ATIVA</v>
          </cell>
          <cell r="D125" t="str">
            <v>TKS</v>
          </cell>
          <cell r="E125">
            <v>46302</v>
          </cell>
        </row>
        <row r="126">
          <cell r="A126" t="str">
            <v>UAW8I56</v>
          </cell>
          <cell r="B126" t="str">
            <v>SMG3</v>
          </cell>
          <cell r="C126" t="str">
            <v>ATIVA</v>
          </cell>
          <cell r="D126" t="str">
            <v>TKS</v>
          </cell>
          <cell r="E126">
            <v>46303</v>
          </cell>
        </row>
        <row r="127">
          <cell r="A127" t="str">
            <v>UAX2B53</v>
          </cell>
          <cell r="B127" t="str">
            <v>SMG3</v>
          </cell>
          <cell r="C127" t="str">
            <v>ATIVA</v>
          </cell>
          <cell r="D127" t="str">
            <v>TKS</v>
          </cell>
          <cell r="E127">
            <v>46303</v>
          </cell>
        </row>
        <row r="128">
          <cell r="A128" t="str">
            <v>TEE1H79</v>
          </cell>
          <cell r="B128" t="str">
            <v>SMG3</v>
          </cell>
          <cell r="C128" t="str">
            <v>ATIVA</v>
          </cell>
          <cell r="D128" t="str">
            <v>VAMOS</v>
          </cell>
          <cell r="E128">
            <v>46301</v>
          </cell>
        </row>
        <row r="129">
          <cell r="A129" t="str">
            <v>TEI0H81</v>
          </cell>
          <cell r="B129" t="str">
            <v>SMG3</v>
          </cell>
          <cell r="C129" t="str">
            <v>ATIVA</v>
          </cell>
          <cell r="D129" t="str">
            <v>VAMOS</v>
          </cell>
          <cell r="E129">
            <v>46303</v>
          </cell>
        </row>
        <row r="130">
          <cell r="A130" t="str">
            <v>TEI0I01</v>
          </cell>
          <cell r="B130" t="str">
            <v>SMG3</v>
          </cell>
          <cell r="C130" t="str">
            <v>MANUTENÇÃO</v>
          </cell>
          <cell r="D130" t="str">
            <v>VAMOS</v>
          </cell>
          <cell r="E130">
            <v>46302</v>
          </cell>
        </row>
        <row r="131">
          <cell r="A131" t="str">
            <v>TEO9D70</v>
          </cell>
          <cell r="B131" t="str">
            <v>SMG3</v>
          </cell>
          <cell r="C131" t="str">
            <v>ATIVA</v>
          </cell>
          <cell r="D131" t="str">
            <v>VAMOS</v>
          </cell>
          <cell r="E131">
            <v>46303</v>
          </cell>
        </row>
        <row r="132">
          <cell r="A132" t="str">
            <v>TEQ4C51</v>
          </cell>
          <cell r="B132" t="str">
            <v>SMG3</v>
          </cell>
          <cell r="C132" t="str">
            <v>ATIVA</v>
          </cell>
          <cell r="D132" t="str">
            <v>VAMOS</v>
          </cell>
          <cell r="E132">
            <v>46303</v>
          </cell>
        </row>
        <row r="133">
          <cell r="A133" t="str">
            <v>TEV9A36</v>
          </cell>
          <cell r="B133" t="str">
            <v>SMG3</v>
          </cell>
          <cell r="C133" t="str">
            <v>SEM DRIVER</v>
          </cell>
          <cell r="D133" t="str">
            <v>VAMOS</v>
          </cell>
          <cell r="E133">
            <v>46295</v>
          </cell>
        </row>
        <row r="134">
          <cell r="A134" t="str">
            <v>TEV9A41</v>
          </cell>
          <cell r="B134" t="str">
            <v>SMG3</v>
          </cell>
          <cell r="C134" t="str">
            <v>MANUTENÇÃO</v>
          </cell>
          <cell r="D134" t="str">
            <v>VAMOS</v>
          </cell>
          <cell r="E134">
            <v>46262</v>
          </cell>
        </row>
        <row r="135">
          <cell r="A135" t="str">
            <v>TEV9A99</v>
          </cell>
          <cell r="B135" t="str">
            <v>SMG3</v>
          </cell>
          <cell r="C135" t="str">
            <v>ATIVA</v>
          </cell>
          <cell r="D135" t="str">
            <v>VAMOS</v>
          </cell>
          <cell r="E135">
            <v>46303</v>
          </cell>
        </row>
        <row r="136">
          <cell r="A136" t="str">
            <v>TEW5I45</v>
          </cell>
          <cell r="B136" t="str">
            <v>SMG3</v>
          </cell>
          <cell r="C136" t="str">
            <v>ATIVA</v>
          </cell>
          <cell r="D136" t="str">
            <v>VAMOS</v>
          </cell>
          <cell r="E136">
            <v>46301</v>
          </cell>
        </row>
        <row r="137">
          <cell r="A137" t="str">
            <v>TEW5I46</v>
          </cell>
          <cell r="B137" t="str">
            <v>SMG3</v>
          </cell>
          <cell r="C137" t="str">
            <v>ATIVA</v>
          </cell>
          <cell r="D137" t="str">
            <v>VAMOS</v>
          </cell>
          <cell r="E137">
            <v>46303</v>
          </cell>
        </row>
        <row r="138">
          <cell r="A138" t="str">
            <v>TEW5I96</v>
          </cell>
          <cell r="B138" t="str">
            <v>SMG3</v>
          </cell>
          <cell r="C138" t="str">
            <v>ATIVA</v>
          </cell>
          <cell r="D138" t="str">
            <v>VAMOS</v>
          </cell>
          <cell r="E138">
            <v>46299</v>
          </cell>
        </row>
        <row r="139">
          <cell r="A139" t="str">
            <v>TEW5I97</v>
          </cell>
          <cell r="B139" t="str">
            <v>SMG3</v>
          </cell>
          <cell r="C139" t="str">
            <v>ATIVA</v>
          </cell>
          <cell r="D139" t="str">
            <v>VAMOS</v>
          </cell>
          <cell r="E139">
            <v>46303</v>
          </cell>
        </row>
        <row r="140">
          <cell r="A140" t="str">
            <v>TEY7J32</v>
          </cell>
          <cell r="B140" t="str">
            <v>SMG3</v>
          </cell>
          <cell r="C140" t="str">
            <v>ATIVA</v>
          </cell>
          <cell r="D140" t="str">
            <v>VAMOS</v>
          </cell>
          <cell r="E140">
            <v>46302</v>
          </cell>
        </row>
        <row r="141">
          <cell r="A141" t="str">
            <v>TEY7J34</v>
          </cell>
          <cell r="B141" t="str">
            <v>SMG3</v>
          </cell>
          <cell r="C141" t="str">
            <v>MANUTENÇÃO</v>
          </cell>
          <cell r="D141" t="str">
            <v>VAMOS</v>
          </cell>
          <cell r="E141">
            <v>46244</v>
          </cell>
        </row>
        <row r="142">
          <cell r="A142" t="str">
            <v>TEY7J41</v>
          </cell>
          <cell r="B142" t="str">
            <v>SMG3</v>
          </cell>
          <cell r="C142" t="str">
            <v>ATIVA</v>
          </cell>
          <cell r="D142" t="str">
            <v>VAMOS</v>
          </cell>
          <cell r="E142">
            <v>46260</v>
          </cell>
        </row>
        <row r="143">
          <cell r="A143" t="str">
            <v>TOL2C54</v>
          </cell>
          <cell r="B143" t="str">
            <v>SRJ1</v>
          </cell>
          <cell r="C143" t="str">
            <v>ATIVA</v>
          </cell>
          <cell r="D143" t="str">
            <v>PRALOG</v>
          </cell>
          <cell r="E143">
            <v>46298</v>
          </cell>
        </row>
        <row r="144">
          <cell r="A144" t="str">
            <v>TBR2C79</v>
          </cell>
          <cell r="B144" t="str">
            <v>SRJ1</v>
          </cell>
          <cell r="C144" t="str">
            <v>ATIVA</v>
          </cell>
          <cell r="D144" t="str">
            <v>TKS</v>
          </cell>
          <cell r="E144">
            <v>46303</v>
          </cell>
        </row>
        <row r="145">
          <cell r="A145" t="str">
            <v>TBR2C83</v>
          </cell>
          <cell r="B145" t="str">
            <v>SRJ1</v>
          </cell>
          <cell r="C145" t="str">
            <v>ATIVA</v>
          </cell>
          <cell r="D145" t="str">
            <v>TKS</v>
          </cell>
          <cell r="E145">
            <v>46303</v>
          </cell>
        </row>
        <row r="146">
          <cell r="A146" t="str">
            <v>TBR2C94</v>
          </cell>
          <cell r="B146" t="str">
            <v>SRJ1</v>
          </cell>
          <cell r="C146" t="str">
            <v>ATIVA</v>
          </cell>
          <cell r="D146" t="str">
            <v>TKS</v>
          </cell>
          <cell r="E146">
            <v>46303</v>
          </cell>
        </row>
        <row r="147">
          <cell r="A147" t="str">
            <v>TBR2C95</v>
          </cell>
          <cell r="B147" t="str">
            <v>SRJ1</v>
          </cell>
          <cell r="C147" t="str">
            <v>ATIVA</v>
          </cell>
          <cell r="D147" t="str">
            <v>TKS</v>
          </cell>
          <cell r="E147">
            <v>46302</v>
          </cell>
        </row>
        <row r="148">
          <cell r="A148" t="str">
            <v>TBR4A71</v>
          </cell>
          <cell r="B148" t="str">
            <v>SRJ1</v>
          </cell>
          <cell r="C148" t="str">
            <v>MANUTENÇÃO</v>
          </cell>
          <cell r="D148" t="str">
            <v>TKS</v>
          </cell>
          <cell r="E148">
            <v>46240</v>
          </cell>
        </row>
        <row r="149">
          <cell r="A149" t="str">
            <v>TBR4B05</v>
          </cell>
          <cell r="B149" t="str">
            <v>SRJ1</v>
          </cell>
          <cell r="C149" t="str">
            <v>MANUTENÇÃO</v>
          </cell>
          <cell r="D149" t="str">
            <v>TKS</v>
          </cell>
          <cell r="E149">
            <v>46298</v>
          </cell>
        </row>
        <row r="150">
          <cell r="A150" t="str">
            <v>TBR6F25</v>
          </cell>
          <cell r="B150" t="str">
            <v>SRJ1</v>
          </cell>
          <cell r="C150" t="str">
            <v>ATIVA</v>
          </cell>
          <cell r="D150" t="str">
            <v>TKS</v>
          </cell>
          <cell r="E150">
            <v>46303</v>
          </cell>
        </row>
        <row r="151">
          <cell r="A151" t="str">
            <v>TBR8I51</v>
          </cell>
          <cell r="B151" t="str">
            <v>SRJ1</v>
          </cell>
          <cell r="C151" t="str">
            <v>SEM DRIVER</v>
          </cell>
          <cell r="D151" t="str">
            <v>TKS</v>
          </cell>
          <cell r="E151">
            <v>46295</v>
          </cell>
        </row>
        <row r="152">
          <cell r="A152" t="str">
            <v>TBW6I39</v>
          </cell>
          <cell r="B152" t="str">
            <v>SRJ1</v>
          </cell>
          <cell r="C152" t="str">
            <v>SEM DRIVER</v>
          </cell>
          <cell r="D152" t="str">
            <v>TKS</v>
          </cell>
          <cell r="E152">
            <v>46303</v>
          </cell>
        </row>
        <row r="153">
          <cell r="A153" t="str">
            <v>TBW6I43</v>
          </cell>
          <cell r="B153" t="str">
            <v>SRJ1</v>
          </cell>
          <cell r="C153" t="str">
            <v>ATIVA</v>
          </cell>
          <cell r="D153" t="str">
            <v>TKS</v>
          </cell>
          <cell r="E153">
            <v>46303</v>
          </cell>
        </row>
        <row r="154">
          <cell r="A154" t="str">
            <v>TDC0E08</v>
          </cell>
          <cell r="B154" t="str">
            <v>SRJ5</v>
          </cell>
          <cell r="C154" t="str">
            <v>ATIVA</v>
          </cell>
          <cell r="D154" t="str">
            <v>UNIDAS</v>
          </cell>
          <cell r="E154">
            <v>46211</v>
          </cell>
        </row>
        <row r="155">
          <cell r="A155" t="str">
            <v>TXJ6H46</v>
          </cell>
          <cell r="B155" t="str">
            <v>SRJ5</v>
          </cell>
          <cell r="C155" t="str">
            <v>ATIVA</v>
          </cell>
          <cell r="D155" t="str">
            <v>UNIDAS</v>
          </cell>
          <cell r="E155">
            <v>46231</v>
          </cell>
        </row>
        <row r="156">
          <cell r="A156" t="str">
            <v>TTU1G18</v>
          </cell>
          <cell r="B156" t="str">
            <v>SRJ10</v>
          </cell>
          <cell r="C156" t="str">
            <v>ATIVA</v>
          </cell>
          <cell r="D156" t="str">
            <v>DELUNA</v>
          </cell>
          <cell r="E156">
            <v>46303</v>
          </cell>
        </row>
        <row r="157">
          <cell r="A157" t="str">
            <v>TUI1F41</v>
          </cell>
          <cell r="B157" t="str">
            <v>SRJ10</v>
          </cell>
          <cell r="C157" t="str">
            <v>ATIVA</v>
          </cell>
          <cell r="D157" t="str">
            <v>DELUNA</v>
          </cell>
          <cell r="E157">
            <v>46303</v>
          </cell>
        </row>
        <row r="158">
          <cell r="A158" t="str">
            <v>SRT1J76</v>
          </cell>
          <cell r="B158" t="str">
            <v>SRJ10</v>
          </cell>
          <cell r="C158" t="str">
            <v>ATIVA</v>
          </cell>
          <cell r="D158" t="str">
            <v>DELUNA</v>
          </cell>
          <cell r="E158">
            <v>46303</v>
          </cell>
        </row>
        <row r="159">
          <cell r="A159" t="str">
            <v>TBX1D75</v>
          </cell>
          <cell r="B159" t="str">
            <v>SRJ10</v>
          </cell>
          <cell r="C159" t="str">
            <v>ATIVA</v>
          </cell>
          <cell r="D159" t="str">
            <v>TKS</v>
          </cell>
          <cell r="E159">
            <v>46303</v>
          </cell>
        </row>
        <row r="160">
          <cell r="A160" t="str">
            <v>TBX1F43</v>
          </cell>
          <cell r="B160" t="str">
            <v>SRJ10</v>
          </cell>
          <cell r="C160" t="str">
            <v>ATIVA</v>
          </cell>
          <cell r="D160" t="str">
            <v>TKS</v>
          </cell>
          <cell r="E160">
            <v>46303</v>
          </cell>
        </row>
        <row r="161">
          <cell r="A161" t="str">
            <v>TBX2A34</v>
          </cell>
          <cell r="B161" t="str">
            <v>SRJ10</v>
          </cell>
          <cell r="C161" t="str">
            <v>ATIVA</v>
          </cell>
          <cell r="D161" t="str">
            <v>TKS</v>
          </cell>
          <cell r="E161">
            <v>46303</v>
          </cell>
        </row>
        <row r="162">
          <cell r="A162" t="str">
            <v>TBX2A37</v>
          </cell>
          <cell r="B162" t="str">
            <v>SRJ10</v>
          </cell>
          <cell r="C162" t="str">
            <v>ATIVA</v>
          </cell>
          <cell r="D162" t="str">
            <v>TKS</v>
          </cell>
          <cell r="E162">
            <v>46303</v>
          </cell>
        </row>
        <row r="163">
          <cell r="A163" t="str">
            <v>TBX2A46</v>
          </cell>
          <cell r="B163" t="str">
            <v>SRJ10</v>
          </cell>
          <cell r="C163" t="str">
            <v>ATIVA</v>
          </cell>
          <cell r="D163" t="str">
            <v>TKS</v>
          </cell>
          <cell r="E163">
            <v>46303</v>
          </cell>
        </row>
        <row r="164">
          <cell r="A164" t="str">
            <v>TBX2A66</v>
          </cell>
          <cell r="B164" t="str">
            <v>SRJ10</v>
          </cell>
          <cell r="C164" t="str">
            <v>ATIVA</v>
          </cell>
          <cell r="D164" t="str">
            <v>TKS</v>
          </cell>
          <cell r="E164">
            <v>46303</v>
          </cell>
        </row>
        <row r="165">
          <cell r="A165" t="str">
            <v>TBX2A81</v>
          </cell>
          <cell r="B165" t="str">
            <v>SRJ10</v>
          </cell>
          <cell r="C165" t="str">
            <v>ATIVA</v>
          </cell>
          <cell r="D165" t="str">
            <v>TKS</v>
          </cell>
          <cell r="E165">
            <v>46303</v>
          </cell>
        </row>
        <row r="166">
          <cell r="A166" t="str">
            <v>TBX2A84</v>
          </cell>
          <cell r="B166" t="str">
            <v>SRJ10</v>
          </cell>
          <cell r="C166" t="str">
            <v>ATIVA</v>
          </cell>
          <cell r="D166" t="str">
            <v>TKS</v>
          </cell>
          <cell r="E166">
            <v>46303</v>
          </cell>
        </row>
        <row r="167">
          <cell r="A167" t="str">
            <v>TBX2B71</v>
          </cell>
          <cell r="B167" t="str">
            <v>SRJ10</v>
          </cell>
          <cell r="C167" t="str">
            <v>ATIVA</v>
          </cell>
          <cell r="D167" t="str">
            <v>TKS</v>
          </cell>
          <cell r="E167">
            <v>46303</v>
          </cell>
        </row>
        <row r="168">
          <cell r="A168" t="str">
            <v>TBX2E39</v>
          </cell>
          <cell r="B168" t="str">
            <v>SRJ10</v>
          </cell>
          <cell r="C168" t="str">
            <v>ATIVA</v>
          </cell>
          <cell r="D168" t="str">
            <v>TKS</v>
          </cell>
          <cell r="E168">
            <v>46303</v>
          </cell>
        </row>
        <row r="169">
          <cell r="A169" t="str">
            <v>TBX8H67</v>
          </cell>
          <cell r="B169" t="str">
            <v>SRJ10</v>
          </cell>
          <cell r="C169" t="str">
            <v>ATIVA</v>
          </cell>
          <cell r="D169" t="str">
            <v>TKS</v>
          </cell>
          <cell r="E169">
            <v>46301</v>
          </cell>
        </row>
        <row r="170">
          <cell r="A170" t="str">
            <v>TBY2F62</v>
          </cell>
          <cell r="B170" t="str">
            <v>SRJ10</v>
          </cell>
          <cell r="C170" t="str">
            <v>ATIVA</v>
          </cell>
          <cell r="D170" t="str">
            <v>TKS</v>
          </cell>
          <cell r="E170">
            <v>46303</v>
          </cell>
        </row>
        <row r="171">
          <cell r="A171" t="str">
            <v>TBR2C82</v>
          </cell>
          <cell r="B171" t="str">
            <v>SRJ13</v>
          </cell>
          <cell r="C171" t="str">
            <v>ATIVA</v>
          </cell>
          <cell r="D171" t="str">
            <v>TKS</v>
          </cell>
          <cell r="E171">
            <v>46303</v>
          </cell>
        </row>
        <row r="172">
          <cell r="A172" t="str">
            <v>TBR2C93</v>
          </cell>
          <cell r="B172" t="str">
            <v>SRJ15</v>
          </cell>
          <cell r="C172" t="str">
            <v>ATIVA</v>
          </cell>
          <cell r="D172" t="str">
            <v>TKS</v>
          </cell>
          <cell r="E172">
            <v>46303</v>
          </cell>
        </row>
        <row r="173">
          <cell r="A173" t="str">
            <v>TBR8I01</v>
          </cell>
          <cell r="B173" t="str">
            <v>SRJ13</v>
          </cell>
          <cell r="C173" t="str">
            <v>ATIVA</v>
          </cell>
          <cell r="D173" t="str">
            <v>TKS</v>
          </cell>
          <cell r="E173">
            <v>46303</v>
          </cell>
        </row>
        <row r="174">
          <cell r="A174" t="str">
            <v>TBW6F03</v>
          </cell>
          <cell r="B174" t="str">
            <v>SRJ15</v>
          </cell>
          <cell r="C174" t="str">
            <v>ATIVA</v>
          </cell>
          <cell r="D174" t="str">
            <v>TKS</v>
          </cell>
          <cell r="E174">
            <v>46303</v>
          </cell>
        </row>
        <row r="175">
          <cell r="A175" t="str">
            <v>TBW6I38</v>
          </cell>
          <cell r="B175" t="str">
            <v>SRJ13</v>
          </cell>
          <cell r="C175" t="str">
            <v>ATIVA</v>
          </cell>
          <cell r="D175" t="str">
            <v>TKS</v>
          </cell>
          <cell r="E175">
            <v>46303</v>
          </cell>
        </row>
        <row r="176">
          <cell r="A176" t="str">
            <v>TBW6I45</v>
          </cell>
          <cell r="B176" t="str">
            <v>SRJ15</v>
          </cell>
          <cell r="C176" t="str">
            <v>ATIVA</v>
          </cell>
          <cell r="D176" t="str">
            <v>TKS</v>
          </cell>
          <cell r="E176">
            <v>46303</v>
          </cell>
        </row>
        <row r="177">
          <cell r="A177" t="str">
            <v>TBW6I61</v>
          </cell>
          <cell r="B177" t="str">
            <v>SRJ15</v>
          </cell>
          <cell r="C177" t="str">
            <v>ATIVA</v>
          </cell>
          <cell r="D177" t="str">
            <v>TKS</v>
          </cell>
          <cell r="E177">
            <v>46303</v>
          </cell>
        </row>
        <row r="178">
          <cell r="A178" t="str">
            <v>TBW6I90</v>
          </cell>
          <cell r="B178" t="str">
            <v>SRJ13</v>
          </cell>
          <cell r="C178" t="str">
            <v>ATIVA</v>
          </cell>
          <cell r="D178" t="str">
            <v>TKS</v>
          </cell>
          <cell r="E178">
            <v>46302</v>
          </cell>
        </row>
        <row r="179">
          <cell r="A179" t="str">
            <v>TXT4F98</v>
          </cell>
          <cell r="B179" t="str">
            <v>SRJ8</v>
          </cell>
          <cell r="C179" t="str">
            <v>ATIVA</v>
          </cell>
          <cell r="D179" t="str">
            <v>VAMOS</v>
          </cell>
          <cell r="E179">
            <v>46303</v>
          </cell>
        </row>
        <row r="180">
          <cell r="A180" t="str">
            <v>TBW6I46</v>
          </cell>
          <cell r="B180" t="str">
            <v>SRJ6</v>
          </cell>
          <cell r="C180" t="str">
            <v>ATIVA</v>
          </cell>
          <cell r="D180" t="str">
            <v>TKS</v>
          </cell>
          <cell r="E180">
            <v>46303</v>
          </cell>
        </row>
        <row r="181">
          <cell r="A181" t="str">
            <v>TBW6I74</v>
          </cell>
          <cell r="B181" t="str">
            <v>SRJ6</v>
          </cell>
          <cell r="C181" t="str">
            <v>ATIVA</v>
          </cell>
          <cell r="D181" t="str">
            <v>TKS</v>
          </cell>
          <cell r="E181">
            <v>46303</v>
          </cell>
        </row>
        <row r="182">
          <cell r="A182" t="str">
            <v>TBW6I79</v>
          </cell>
          <cell r="B182" t="str">
            <v>SRJ6</v>
          </cell>
          <cell r="C182" t="str">
            <v>ATIVA</v>
          </cell>
          <cell r="D182" t="str">
            <v>TKS</v>
          </cell>
          <cell r="E182">
            <v>46303</v>
          </cell>
        </row>
        <row r="183">
          <cell r="A183" t="str">
            <v>TWY6H59</v>
          </cell>
          <cell r="B183" t="str">
            <v>SRJ7</v>
          </cell>
          <cell r="C183" t="str">
            <v>TROCAR PLACA</v>
          </cell>
          <cell r="D183" t="str">
            <v>LOCALIZA/PORTAL</v>
          </cell>
          <cell r="E183">
            <v>46303</v>
          </cell>
        </row>
        <row r="184">
          <cell r="A184" t="str">
            <v>TXQ7J27</v>
          </cell>
          <cell r="B184" t="str">
            <v>SRJ7</v>
          </cell>
          <cell r="C184" t="str">
            <v>TROCAR PLACA</v>
          </cell>
          <cell r="D184" t="str">
            <v>LOCALIZA/PORTAL</v>
          </cell>
          <cell r="E184">
            <v>46249</v>
          </cell>
        </row>
        <row r="185">
          <cell r="A185" t="str">
            <v>TBK7B84</v>
          </cell>
          <cell r="B185" t="str">
            <v>SRJ4</v>
          </cell>
          <cell r="C185" t="str">
            <v>ATIVA</v>
          </cell>
          <cell r="D185" t="str">
            <v>TKS</v>
          </cell>
          <cell r="E185">
            <v>46303</v>
          </cell>
        </row>
        <row r="186">
          <cell r="A186" t="str">
            <v>TBK9F96</v>
          </cell>
          <cell r="B186" t="str">
            <v>SRJ7</v>
          </cell>
          <cell r="C186" t="str">
            <v>ATIVA</v>
          </cell>
          <cell r="D186" t="str">
            <v>TKS</v>
          </cell>
          <cell r="E186">
            <v>46303</v>
          </cell>
        </row>
        <row r="187">
          <cell r="A187" t="str">
            <v>TBK9G06</v>
          </cell>
          <cell r="B187" t="str">
            <v>SRJ7</v>
          </cell>
          <cell r="C187" t="str">
            <v>ATIVA</v>
          </cell>
          <cell r="D187" t="str">
            <v>TKS</v>
          </cell>
          <cell r="E187">
            <v>46303</v>
          </cell>
        </row>
        <row r="188">
          <cell r="A188" t="str">
            <v>TBX1B61</v>
          </cell>
          <cell r="B188" t="str">
            <v>SRJ4</v>
          </cell>
          <cell r="C188" t="str">
            <v>ATIVA</v>
          </cell>
          <cell r="D188" t="str">
            <v>TKS</v>
          </cell>
          <cell r="E188">
            <v>46303</v>
          </cell>
        </row>
        <row r="189">
          <cell r="A189" t="str">
            <v>TBX1D60</v>
          </cell>
          <cell r="B189" t="str">
            <v>SRJ4</v>
          </cell>
          <cell r="C189" t="str">
            <v>MANUTENÇÃO</v>
          </cell>
          <cell r="D189" t="str">
            <v>TKS</v>
          </cell>
          <cell r="E189">
            <v>46298</v>
          </cell>
        </row>
        <row r="190">
          <cell r="A190" t="str">
            <v>TBX1F44</v>
          </cell>
          <cell r="B190" t="str">
            <v>SRJ7</v>
          </cell>
          <cell r="C190" t="str">
            <v>MANUTENÇÃO</v>
          </cell>
          <cell r="D190" t="str">
            <v>TKS</v>
          </cell>
          <cell r="E190">
            <v>46303</v>
          </cell>
        </row>
        <row r="191">
          <cell r="A191" t="str">
            <v>TBX8I41</v>
          </cell>
          <cell r="B191" t="str">
            <v>SRJ7</v>
          </cell>
          <cell r="C191" t="str">
            <v>ATIVA</v>
          </cell>
          <cell r="D191" t="str">
            <v>TKS</v>
          </cell>
          <cell r="E191">
            <v>46303</v>
          </cell>
        </row>
        <row r="192">
          <cell r="A192" t="str">
            <v>TBX9E32</v>
          </cell>
          <cell r="B192" t="str">
            <v>SRJ4</v>
          </cell>
          <cell r="C192" t="str">
            <v>ATIVA</v>
          </cell>
          <cell r="D192" t="str">
            <v>TKS</v>
          </cell>
          <cell r="E192">
            <v>46300</v>
          </cell>
        </row>
        <row r="193">
          <cell r="A193" t="str">
            <v>TBZ7G02</v>
          </cell>
          <cell r="B193" t="str">
            <v>SRJ4</v>
          </cell>
          <cell r="C193" t="str">
            <v>ATIVA</v>
          </cell>
          <cell r="D193" t="str">
            <v>TKS</v>
          </cell>
          <cell r="E193">
            <v>46303</v>
          </cell>
        </row>
        <row r="194">
          <cell r="A194" t="str">
            <v>TBZ7G44</v>
          </cell>
          <cell r="B194" t="str">
            <v>SRJ7</v>
          </cell>
          <cell r="C194" t="str">
            <v>ATIVA</v>
          </cell>
          <cell r="D194" t="str">
            <v>TKS</v>
          </cell>
          <cell r="E194">
            <v>46303</v>
          </cell>
        </row>
        <row r="195">
          <cell r="A195" t="str">
            <v>TBZ7H39</v>
          </cell>
          <cell r="B195" t="str">
            <v>SRJ4</v>
          </cell>
          <cell r="C195" t="str">
            <v>ATIVA</v>
          </cell>
          <cell r="D195" t="str">
            <v>TKS</v>
          </cell>
          <cell r="E195">
            <v>46303</v>
          </cell>
        </row>
        <row r="196">
          <cell r="A196" t="str">
            <v>TBF2C82</v>
          </cell>
          <cell r="B196" t="str">
            <v>SRJ8</v>
          </cell>
          <cell r="C196" t="str">
            <v>MANUTENÇÃO</v>
          </cell>
          <cell r="D196" t="str">
            <v>TKS</v>
          </cell>
          <cell r="E196">
            <v>46292</v>
          </cell>
        </row>
        <row r="197">
          <cell r="A197" t="str">
            <v>TBF2D60</v>
          </cell>
          <cell r="B197" t="str">
            <v>SRJ8</v>
          </cell>
          <cell r="C197" t="str">
            <v>ATIVA</v>
          </cell>
          <cell r="D197" t="str">
            <v>TKS</v>
          </cell>
          <cell r="E197">
            <v>46303</v>
          </cell>
        </row>
        <row r="198">
          <cell r="A198" t="str">
            <v>TBJ9G10</v>
          </cell>
          <cell r="B198" t="str">
            <v>SRJ8</v>
          </cell>
          <cell r="C198" t="str">
            <v>ATIVA</v>
          </cell>
          <cell r="D198" t="str">
            <v>TKS</v>
          </cell>
          <cell r="E198">
            <v>46303</v>
          </cell>
        </row>
        <row r="199">
          <cell r="A199" t="str">
            <v>TBS8E55</v>
          </cell>
          <cell r="B199" t="str">
            <v>SRJ8</v>
          </cell>
          <cell r="C199" t="str">
            <v>ATIVA</v>
          </cell>
          <cell r="D199" t="str">
            <v>TKS</v>
          </cell>
          <cell r="E199">
            <v>46303</v>
          </cell>
        </row>
        <row r="200">
          <cell r="A200" t="str">
            <v>TBS8E61</v>
          </cell>
          <cell r="B200" t="str">
            <v>SRJ8</v>
          </cell>
          <cell r="C200" t="str">
            <v>ATIVA</v>
          </cell>
          <cell r="D200" t="str">
            <v>TKS</v>
          </cell>
          <cell r="E200">
            <v>46303</v>
          </cell>
        </row>
        <row r="201">
          <cell r="A201" t="str">
            <v>TBS8E64</v>
          </cell>
          <cell r="B201" t="str">
            <v>SRJ8</v>
          </cell>
          <cell r="C201" t="str">
            <v>ATIVA</v>
          </cell>
          <cell r="D201" t="str">
            <v>TKS</v>
          </cell>
          <cell r="E201">
            <v>46303</v>
          </cell>
        </row>
        <row r="202">
          <cell r="A202" t="str">
            <v>TBS8E80</v>
          </cell>
          <cell r="B202" t="str">
            <v>SRJ8</v>
          </cell>
          <cell r="C202" t="str">
            <v>ATIVA</v>
          </cell>
          <cell r="D202" t="str">
            <v>TKS</v>
          </cell>
          <cell r="E202">
            <v>46303</v>
          </cell>
        </row>
        <row r="203">
          <cell r="A203" t="str">
            <v>TBS8E98</v>
          </cell>
          <cell r="B203" t="str">
            <v>SRJ8</v>
          </cell>
          <cell r="C203" t="str">
            <v>ATIVA</v>
          </cell>
          <cell r="D203" t="str">
            <v>TKS</v>
          </cell>
          <cell r="E203">
            <v>46303</v>
          </cell>
        </row>
        <row r="204">
          <cell r="A204" t="str">
            <v>TBS8E99</v>
          </cell>
          <cell r="B204" t="str">
            <v>SRJ8</v>
          </cell>
          <cell r="C204" t="str">
            <v>ATIVA</v>
          </cell>
          <cell r="D204" t="str">
            <v>TKS</v>
          </cell>
          <cell r="E204">
            <v>46303</v>
          </cell>
        </row>
        <row r="205">
          <cell r="A205" t="str">
            <v>TBX1B64</v>
          </cell>
          <cell r="B205" t="str">
            <v>SRJ8</v>
          </cell>
          <cell r="C205" t="str">
            <v>ATIVA</v>
          </cell>
          <cell r="D205" t="str">
            <v>TKS</v>
          </cell>
          <cell r="E205">
            <v>46303</v>
          </cell>
        </row>
        <row r="206">
          <cell r="A206" t="str">
            <v>TBX2B93</v>
          </cell>
          <cell r="B206" t="str">
            <v>SRJ8</v>
          </cell>
          <cell r="C206" t="str">
            <v>ATIVA</v>
          </cell>
          <cell r="D206" t="str">
            <v>TKS</v>
          </cell>
          <cell r="E206">
            <v>46303</v>
          </cell>
        </row>
        <row r="207">
          <cell r="A207" t="str">
            <v>TBX8C60</v>
          </cell>
          <cell r="B207" t="str">
            <v>SRJ8</v>
          </cell>
          <cell r="C207" t="str">
            <v>ATIVA</v>
          </cell>
          <cell r="D207" t="str">
            <v>TKS</v>
          </cell>
          <cell r="E207">
            <v>46303</v>
          </cell>
        </row>
        <row r="208">
          <cell r="A208" t="str">
            <v>TBX8E15</v>
          </cell>
          <cell r="B208" t="str">
            <v>SRJ8</v>
          </cell>
          <cell r="C208" t="str">
            <v>ATIVA</v>
          </cell>
          <cell r="D208" t="str">
            <v>TKS</v>
          </cell>
          <cell r="E208">
            <v>46303</v>
          </cell>
        </row>
        <row r="209">
          <cell r="A209" t="str">
            <v>TBX8I51</v>
          </cell>
          <cell r="B209" t="str">
            <v>SRJ8</v>
          </cell>
          <cell r="C209" t="str">
            <v>ATIVA</v>
          </cell>
          <cell r="D209" t="str">
            <v>TKS</v>
          </cell>
          <cell r="E209">
            <v>46303</v>
          </cell>
        </row>
        <row r="210">
          <cell r="A210" t="str">
            <v>TBX8I52</v>
          </cell>
          <cell r="B210" t="str">
            <v>SRJ8</v>
          </cell>
          <cell r="C210" t="str">
            <v>ATIVA</v>
          </cell>
          <cell r="D210" t="str">
            <v>TKS</v>
          </cell>
          <cell r="E210">
            <v>46303</v>
          </cell>
        </row>
        <row r="211">
          <cell r="A211" t="str">
            <v>TBX8I56</v>
          </cell>
          <cell r="B211" t="str">
            <v>SRJ8</v>
          </cell>
          <cell r="C211" t="str">
            <v>ATIVA</v>
          </cell>
          <cell r="D211" t="str">
            <v>TKS</v>
          </cell>
          <cell r="E211">
            <v>46303</v>
          </cell>
        </row>
        <row r="212">
          <cell r="A212" t="str">
            <v>TBZ8F73</v>
          </cell>
          <cell r="B212" t="str">
            <v>SRJ8</v>
          </cell>
          <cell r="C212" t="str">
            <v>ATIVA</v>
          </cell>
          <cell r="D212" t="str">
            <v>TKS</v>
          </cell>
          <cell r="E212">
            <v>46303</v>
          </cell>
        </row>
        <row r="213">
          <cell r="A213" t="str">
            <v>UAS8F84</v>
          </cell>
          <cell r="B213" t="str">
            <v>SES1</v>
          </cell>
          <cell r="C213" t="str">
            <v>ATIVA</v>
          </cell>
          <cell r="D213" t="str">
            <v>TKS</v>
          </cell>
          <cell r="E213">
            <v>46303</v>
          </cell>
        </row>
        <row r="214">
          <cell r="A214" t="str">
            <v>UAT5H20</v>
          </cell>
          <cell r="B214" t="str">
            <v>SES1</v>
          </cell>
          <cell r="C214" t="str">
            <v>ATIVA</v>
          </cell>
          <cell r="D214" t="str">
            <v>TKS</v>
          </cell>
          <cell r="E214">
            <v>46303</v>
          </cell>
        </row>
        <row r="215">
          <cell r="A215" t="str">
            <v>UAT5H31</v>
          </cell>
          <cell r="B215" t="str">
            <v>SES1</v>
          </cell>
          <cell r="C215" t="str">
            <v>ATIVA</v>
          </cell>
          <cell r="D215" t="str">
            <v>TKS</v>
          </cell>
          <cell r="E215">
            <v>46303</v>
          </cell>
        </row>
        <row r="216">
          <cell r="A216" t="str">
            <v>TUE6J97</v>
          </cell>
          <cell r="B216" t="str">
            <v>SES1</v>
          </cell>
          <cell r="C216" t="str">
            <v>ATIVA</v>
          </cell>
          <cell r="D216" t="str">
            <v>DELUNA</v>
          </cell>
          <cell r="E216">
            <v>46303</v>
          </cell>
        </row>
        <row r="217">
          <cell r="A217" t="str">
            <v>TUF6J97</v>
          </cell>
          <cell r="B217" t="str">
            <v>SES1</v>
          </cell>
          <cell r="C217" t="str">
            <v>SEM DRIVER</v>
          </cell>
          <cell r="D217" t="str">
            <v>DELUNA</v>
          </cell>
          <cell r="E217">
            <v>46302</v>
          </cell>
        </row>
        <row r="218">
          <cell r="A218" t="str">
            <v>TUF6J98</v>
          </cell>
          <cell r="B218" t="str">
            <v>SES1</v>
          </cell>
          <cell r="C218" t="str">
            <v>ATIVA</v>
          </cell>
          <cell r="D218" t="str">
            <v>DELUNA</v>
          </cell>
          <cell r="E218">
            <v>46303</v>
          </cell>
        </row>
        <row r="219">
          <cell r="A219" t="str">
            <v>TUF6J99</v>
          </cell>
          <cell r="B219" t="str">
            <v>SES1</v>
          </cell>
          <cell r="C219" t="str">
            <v>ATIVA</v>
          </cell>
          <cell r="D219" t="str">
            <v>DELUNA</v>
          </cell>
          <cell r="E219">
            <v>46303</v>
          </cell>
        </row>
        <row r="220">
          <cell r="A220" t="str">
            <v>TZN9E53</v>
          </cell>
          <cell r="B220" t="str">
            <v>SES2</v>
          </cell>
          <cell r="C220" t="str">
            <v>ATIVA</v>
          </cell>
          <cell r="D220" t="str">
            <v>LOCALIZA</v>
          </cell>
          <cell r="E220">
            <v>46300</v>
          </cell>
        </row>
        <row r="221">
          <cell r="A221" t="str">
            <v>TZN9E54</v>
          </cell>
          <cell r="B221" t="str">
            <v>SES2</v>
          </cell>
          <cell r="C221" t="str">
            <v>ATIVA</v>
          </cell>
          <cell r="D221" t="str">
            <v>LOCALIZA</v>
          </cell>
          <cell r="E221">
            <v>46303</v>
          </cell>
        </row>
        <row r="222">
          <cell r="A222" t="str">
            <v>TZN9E56</v>
          </cell>
          <cell r="B222" t="str">
            <v>SES2</v>
          </cell>
          <cell r="C222" t="str">
            <v>ATIVA</v>
          </cell>
          <cell r="D222" t="str">
            <v>LOCALIZA</v>
          </cell>
          <cell r="E222">
            <v>46300</v>
          </cell>
        </row>
        <row r="223">
          <cell r="A223" t="str">
            <v>TZN9E40</v>
          </cell>
          <cell r="B223" t="str">
            <v>SES2</v>
          </cell>
          <cell r="C223" t="str">
            <v>ATIVA</v>
          </cell>
          <cell r="D223" t="str">
            <v>LOCALIZA</v>
          </cell>
          <cell r="E223">
            <v>46303</v>
          </cell>
        </row>
        <row r="224">
          <cell r="A224" t="str">
            <v>TZN9E41</v>
          </cell>
          <cell r="B224" t="str">
            <v>SES2</v>
          </cell>
          <cell r="C224" t="str">
            <v>MANUTENÇÃO</v>
          </cell>
          <cell r="D224" t="str">
            <v>LOCALIZA</v>
          </cell>
          <cell r="E224">
            <v>46266</v>
          </cell>
        </row>
        <row r="225">
          <cell r="A225" t="str">
            <v>TZN9E46</v>
          </cell>
          <cell r="B225" t="str">
            <v>SES2</v>
          </cell>
          <cell r="C225" t="str">
            <v>ATIVA</v>
          </cell>
          <cell r="D225" t="str">
            <v>LOCALIZA</v>
          </cell>
          <cell r="E225">
            <v>46303</v>
          </cell>
        </row>
        <row r="226">
          <cell r="A226" t="str">
            <v>TZN9E59</v>
          </cell>
          <cell r="B226" t="str">
            <v>SES2</v>
          </cell>
          <cell r="C226" t="str">
            <v>ATIVA</v>
          </cell>
          <cell r="D226" t="str">
            <v>LOCALIZA</v>
          </cell>
          <cell r="E226">
            <v>46303</v>
          </cell>
        </row>
        <row r="227">
          <cell r="A227" t="str">
            <v>TZN9E61</v>
          </cell>
          <cell r="B227" t="str">
            <v>SES2</v>
          </cell>
          <cell r="C227" t="str">
            <v>ATIVA</v>
          </cell>
          <cell r="D227" t="str">
            <v>LOCALIZA</v>
          </cell>
          <cell r="E227">
            <v>46303</v>
          </cell>
        </row>
        <row r="228">
          <cell r="A228" t="str">
            <v>TZN9E44</v>
          </cell>
          <cell r="B228" t="str">
            <v>SES2</v>
          </cell>
          <cell r="C228" t="str">
            <v>ATIVA</v>
          </cell>
          <cell r="D228" t="str">
            <v>LOCALIZA</v>
          </cell>
          <cell r="E228">
            <v>46303</v>
          </cell>
        </row>
        <row r="229">
          <cell r="A229" t="str">
            <v>TZN9E51</v>
          </cell>
          <cell r="B229" t="str">
            <v>SES2</v>
          </cell>
          <cell r="C229" t="str">
            <v>ATIVA</v>
          </cell>
          <cell r="D229" t="str">
            <v>LOCALIZA</v>
          </cell>
          <cell r="E229">
            <v>46303</v>
          </cell>
        </row>
        <row r="230">
          <cell r="A230" t="str">
            <v>TZN9E60</v>
          </cell>
          <cell r="B230" t="str">
            <v>SES2</v>
          </cell>
          <cell r="C230" t="str">
            <v>ATIVA</v>
          </cell>
          <cell r="D230" t="str">
            <v>LOCALIZA</v>
          </cell>
          <cell r="E230">
            <v>46303</v>
          </cell>
        </row>
        <row r="231">
          <cell r="A231" t="str">
            <v>TZN9E66</v>
          </cell>
          <cell r="B231" t="str">
            <v>SES2</v>
          </cell>
          <cell r="C231" t="str">
            <v>ATIVA</v>
          </cell>
          <cell r="D231" t="str">
            <v>LOCALIZA</v>
          </cell>
          <cell r="E231">
            <v>46303</v>
          </cell>
        </row>
        <row r="232">
          <cell r="A232" t="str">
            <v>TZN9E67</v>
          </cell>
          <cell r="B232" t="str">
            <v>SES2</v>
          </cell>
          <cell r="C232" t="str">
            <v>ATIVA</v>
          </cell>
          <cell r="D232" t="str">
            <v>LOCALIZA</v>
          </cell>
          <cell r="E232">
            <v>46303</v>
          </cell>
        </row>
        <row r="233">
          <cell r="A233" t="str">
            <v>TZK7G89</v>
          </cell>
          <cell r="B233" t="str">
            <v>SMG14</v>
          </cell>
          <cell r="C233" t="str">
            <v>ATIVA</v>
          </cell>
          <cell r="D233" t="str">
            <v>LOCALIZA</v>
          </cell>
          <cell r="E233">
            <v>46303</v>
          </cell>
        </row>
        <row r="234">
          <cell r="A234" t="str">
            <v>TZK7G92</v>
          </cell>
          <cell r="B234" t="str">
            <v>SMG14</v>
          </cell>
          <cell r="C234" t="str">
            <v>ATIVA</v>
          </cell>
          <cell r="D234" t="str">
            <v>LOCALIZA</v>
          </cell>
          <cell r="E234">
            <v>46303</v>
          </cell>
        </row>
        <row r="235">
          <cell r="A235" t="str">
            <v>TZK7G95</v>
          </cell>
          <cell r="B235" t="str">
            <v>SMG14</v>
          </cell>
          <cell r="C235" t="str">
            <v>ATIVA</v>
          </cell>
          <cell r="D235" t="str">
            <v>LOCALIZA</v>
          </cell>
          <cell r="E235">
            <v>46303</v>
          </cell>
        </row>
        <row r="236">
          <cell r="A236" t="str">
            <v>TZK7H02</v>
          </cell>
          <cell r="B236" t="str">
            <v>SMG14</v>
          </cell>
          <cell r="C236" t="str">
            <v>ATIVA</v>
          </cell>
          <cell r="D236" t="str">
            <v>LOCALIZA</v>
          </cell>
          <cell r="E236">
            <v>46303</v>
          </cell>
        </row>
        <row r="237">
          <cell r="A237" t="str">
            <v>TZK7H03</v>
          </cell>
          <cell r="B237" t="str">
            <v>SMG14</v>
          </cell>
          <cell r="C237" t="str">
            <v>ATIVA</v>
          </cell>
          <cell r="D237" t="str">
            <v>LOCALIZA</v>
          </cell>
          <cell r="E237">
            <v>46300</v>
          </cell>
        </row>
        <row r="238">
          <cell r="A238" t="str">
            <v>TZK7G86</v>
          </cell>
          <cell r="B238" t="str">
            <v>SMG14</v>
          </cell>
          <cell r="C238" t="str">
            <v>ATIVA</v>
          </cell>
          <cell r="D238" t="str">
            <v>LOCALIZA</v>
          </cell>
          <cell r="E238">
            <v>46303</v>
          </cell>
        </row>
        <row r="239">
          <cell r="A239" t="str">
            <v>TZK7G88</v>
          </cell>
          <cell r="B239" t="str">
            <v>SMG14</v>
          </cell>
          <cell r="C239" t="str">
            <v>ATIVA</v>
          </cell>
          <cell r="D239" t="str">
            <v>LOCALIZA</v>
          </cell>
          <cell r="E239">
            <v>46303</v>
          </cell>
        </row>
        <row r="240">
          <cell r="A240" t="str">
            <v>TZK7G93</v>
          </cell>
          <cell r="B240" t="str">
            <v>SMG14</v>
          </cell>
          <cell r="C240" t="str">
            <v>ATIVA</v>
          </cell>
          <cell r="D240" t="str">
            <v>LOCALIZA</v>
          </cell>
          <cell r="E240">
            <v>46303</v>
          </cell>
        </row>
        <row r="241">
          <cell r="A241" t="str">
            <v>TZK7G96</v>
          </cell>
          <cell r="B241" t="str">
            <v>SMG14</v>
          </cell>
          <cell r="C241" t="str">
            <v>ATIVA</v>
          </cell>
          <cell r="D241" t="str">
            <v>LOCALIZA</v>
          </cell>
          <cell r="E241">
            <v>46303</v>
          </cell>
        </row>
        <row r="242">
          <cell r="A242" t="str">
            <v>EKP2A86</v>
          </cell>
          <cell r="B242" t="str">
            <v>SMG3</v>
          </cell>
          <cell r="C242" t="str">
            <v>MANUTENÇÃO</v>
          </cell>
          <cell r="D242" t="str">
            <v>TKS</v>
          </cell>
          <cell r="E242">
            <v>46281</v>
          </cell>
        </row>
        <row r="243">
          <cell r="A243" t="str">
            <v>UDD2F67</v>
          </cell>
          <cell r="B243" t="str">
            <v>SMG3</v>
          </cell>
          <cell r="C243" t="str">
            <v>ATIVA</v>
          </cell>
          <cell r="D243" t="str">
            <v>TKS</v>
          </cell>
          <cell r="E243">
            <v>46303</v>
          </cell>
        </row>
        <row r="244">
          <cell r="A244" t="str">
            <v>UGE6I11</v>
          </cell>
          <cell r="B244" t="str">
            <v>SMG3</v>
          </cell>
          <cell r="C244" t="str">
            <v>ATIVA</v>
          </cell>
          <cell r="D244" t="str">
            <v>TKS</v>
          </cell>
          <cell r="E244">
            <v>46303</v>
          </cell>
        </row>
        <row r="245">
          <cell r="A245" t="str">
            <v>UGQ5E06</v>
          </cell>
          <cell r="B245" t="str">
            <v>SMG3</v>
          </cell>
          <cell r="C245" t="str">
            <v>ATIVA</v>
          </cell>
          <cell r="D245" t="str">
            <v>TKS</v>
          </cell>
          <cell r="E245">
            <v>46303</v>
          </cell>
        </row>
        <row r="246">
          <cell r="A246" t="str">
            <v>TXS8A77</v>
          </cell>
          <cell r="B246" t="str">
            <v>SMG3</v>
          </cell>
          <cell r="C246" t="str">
            <v>MANUTENÇÃO</v>
          </cell>
          <cell r="D246" t="str">
            <v>VAMOS</v>
          </cell>
          <cell r="E246">
            <v>46302</v>
          </cell>
        </row>
        <row r="247">
          <cell r="A247" t="str">
            <v>TXS8A78</v>
          </cell>
          <cell r="B247" t="str">
            <v>SMG3</v>
          </cell>
          <cell r="C247" t="str">
            <v>MANUTENÇÃO</v>
          </cell>
          <cell r="D247" t="str">
            <v>VAMOS</v>
          </cell>
          <cell r="E247">
            <v>46299</v>
          </cell>
        </row>
        <row r="248">
          <cell r="A248" t="str">
            <v>TXS8A80</v>
          </cell>
          <cell r="B248" t="str">
            <v>SMG3</v>
          </cell>
          <cell r="C248" t="str">
            <v>ATIVA</v>
          </cell>
          <cell r="D248" t="str">
            <v>VAMOS</v>
          </cell>
          <cell r="E248">
            <v>46303</v>
          </cell>
        </row>
        <row r="249">
          <cell r="A249" t="str">
            <v>TXS8A86</v>
          </cell>
          <cell r="B249" t="str">
            <v>SMG3</v>
          </cell>
          <cell r="C249" t="str">
            <v>MANUTENÇÃO</v>
          </cell>
          <cell r="D249" t="str">
            <v>VAMOS</v>
          </cell>
          <cell r="E249">
            <v>46288</v>
          </cell>
        </row>
        <row r="250">
          <cell r="A250" t="str">
            <v>TXS8A91</v>
          </cell>
          <cell r="B250" t="str">
            <v>SMG3</v>
          </cell>
          <cell r="C250" t="str">
            <v>ATIVA</v>
          </cell>
          <cell r="D250" t="str">
            <v>VAMOS</v>
          </cell>
          <cell r="E250">
            <v>46302</v>
          </cell>
        </row>
        <row r="251">
          <cell r="A251" t="str">
            <v>TZK7G21</v>
          </cell>
          <cell r="B251" t="str">
            <v>SRJ1</v>
          </cell>
          <cell r="C251" t="str">
            <v>ATIVA</v>
          </cell>
          <cell r="D251" t="str">
            <v>LOCALIZA</v>
          </cell>
          <cell r="E251">
            <v>46302</v>
          </cell>
        </row>
        <row r="252">
          <cell r="A252" t="str">
            <v>TZK7G22</v>
          </cell>
          <cell r="B252" t="str">
            <v>SRJ1</v>
          </cell>
          <cell r="C252" t="str">
            <v>ATIVA</v>
          </cell>
          <cell r="D252" t="str">
            <v>LOCALIZA</v>
          </cell>
          <cell r="E252">
            <v>46303</v>
          </cell>
        </row>
        <row r="253">
          <cell r="A253" t="str">
            <v>TZK7G23</v>
          </cell>
          <cell r="B253" t="str">
            <v>SRJ1</v>
          </cell>
          <cell r="C253" t="str">
            <v>ATIVA</v>
          </cell>
          <cell r="D253" t="str">
            <v>LOCALIZA</v>
          </cell>
          <cell r="E253">
            <v>46303</v>
          </cell>
        </row>
        <row r="254">
          <cell r="A254" t="str">
            <v>TZK7G25</v>
          </cell>
          <cell r="B254" t="str">
            <v>SRJ1</v>
          </cell>
          <cell r="C254" t="str">
            <v>MANUTENÇÃO / PLACA RESERVA</v>
          </cell>
          <cell r="D254" t="str">
            <v>LOCALIZA</v>
          </cell>
          <cell r="E254">
            <v>46284</v>
          </cell>
        </row>
        <row r="255">
          <cell r="A255" t="str">
            <v>TZM0A63</v>
          </cell>
          <cell r="B255" t="str">
            <v>SRJ1</v>
          </cell>
          <cell r="C255" t="str">
            <v>ATIVA</v>
          </cell>
          <cell r="D255" t="str">
            <v>LOCALIZA</v>
          </cell>
          <cell r="E255">
            <v>46302</v>
          </cell>
        </row>
        <row r="256">
          <cell r="A256" t="str">
            <v>TZK7G30</v>
          </cell>
          <cell r="B256" t="str">
            <v>SRJ1</v>
          </cell>
          <cell r="C256" t="str">
            <v>ATIVA</v>
          </cell>
          <cell r="D256" t="str">
            <v>LOCALIZA</v>
          </cell>
          <cell r="E256">
            <v>46302</v>
          </cell>
        </row>
        <row r="257">
          <cell r="A257" t="str">
            <v>TZK7G32</v>
          </cell>
          <cell r="B257" t="str">
            <v>SRJ1</v>
          </cell>
          <cell r="C257" t="str">
            <v>ATIVA</v>
          </cell>
          <cell r="D257" t="str">
            <v>LOCALIZA</v>
          </cell>
          <cell r="E257">
            <v>46303</v>
          </cell>
        </row>
        <row r="258">
          <cell r="A258" t="str">
            <v>TZK7G41</v>
          </cell>
          <cell r="B258" t="str">
            <v>SRJ1</v>
          </cell>
          <cell r="C258" t="str">
            <v>ATIVA</v>
          </cell>
          <cell r="D258" t="str">
            <v>LOCALIZA</v>
          </cell>
          <cell r="E258">
            <v>46302</v>
          </cell>
        </row>
        <row r="259">
          <cell r="A259" t="str">
            <v>TZK7G42</v>
          </cell>
          <cell r="B259" t="str">
            <v>SRJ1</v>
          </cell>
          <cell r="C259" t="str">
            <v>ATIVA</v>
          </cell>
          <cell r="D259" t="str">
            <v>LOCALIZA</v>
          </cell>
          <cell r="E259">
            <v>46303</v>
          </cell>
        </row>
        <row r="260">
          <cell r="A260" t="str">
            <v>TZK7G43</v>
          </cell>
          <cell r="B260" t="str">
            <v>SRJ1</v>
          </cell>
          <cell r="C260" t="str">
            <v>ATIVA</v>
          </cell>
          <cell r="D260" t="str">
            <v>LOCALIZA</v>
          </cell>
          <cell r="E260">
            <v>46303</v>
          </cell>
        </row>
        <row r="261">
          <cell r="A261" t="str">
            <v>TZK7G04</v>
          </cell>
          <cell r="B261" t="str">
            <v>SRJ1</v>
          </cell>
          <cell r="C261" t="str">
            <v>ATIVA</v>
          </cell>
          <cell r="D261" t="str">
            <v>LOCALIZA</v>
          </cell>
          <cell r="E261">
            <v>46301</v>
          </cell>
        </row>
        <row r="262">
          <cell r="A262" t="str">
            <v>TZK7G05</v>
          </cell>
          <cell r="B262" t="str">
            <v>SRJ1</v>
          </cell>
          <cell r="C262" t="str">
            <v>ATIVA</v>
          </cell>
          <cell r="D262" t="str">
            <v>LOCALIZA</v>
          </cell>
          <cell r="E262">
            <v>46302</v>
          </cell>
        </row>
        <row r="263">
          <cell r="A263" t="str">
            <v>TZK7G07</v>
          </cell>
          <cell r="B263" t="str">
            <v>SRJ1</v>
          </cell>
          <cell r="C263" t="str">
            <v>ATIVA</v>
          </cell>
          <cell r="D263" t="str">
            <v>LOCALIZA</v>
          </cell>
          <cell r="E263">
            <v>46303</v>
          </cell>
        </row>
        <row r="264">
          <cell r="A264" t="str">
            <v>TZK7G09</v>
          </cell>
          <cell r="B264" t="str">
            <v>SRJ1</v>
          </cell>
          <cell r="C264" t="str">
            <v>ATIVA</v>
          </cell>
          <cell r="D264" t="str">
            <v>LOCALIZA</v>
          </cell>
          <cell r="E264">
            <v>46303</v>
          </cell>
        </row>
        <row r="265">
          <cell r="A265" t="str">
            <v>TZK7G10</v>
          </cell>
          <cell r="B265" t="str">
            <v>SRJ1</v>
          </cell>
          <cell r="C265" t="str">
            <v>ATIVA</v>
          </cell>
          <cell r="D265" t="str">
            <v>LOCALIZA</v>
          </cell>
          <cell r="E265">
            <v>46302</v>
          </cell>
        </row>
        <row r="266">
          <cell r="A266" t="str">
            <v>TXJ6H38</v>
          </cell>
          <cell r="B266" t="str">
            <v>SRJ10</v>
          </cell>
          <cell r="C266" t="str">
            <v>ATIVA</v>
          </cell>
          <cell r="D266" t="str">
            <v>UNIDAS</v>
          </cell>
          <cell r="E266">
            <v>46301</v>
          </cell>
        </row>
        <row r="267">
          <cell r="A267" t="str">
            <v>TXJ6H73</v>
          </cell>
          <cell r="B267" t="str">
            <v>SRJ10</v>
          </cell>
          <cell r="C267" t="str">
            <v>ATIVA</v>
          </cell>
          <cell r="D267" t="str">
            <v>UNIDAS</v>
          </cell>
          <cell r="E267">
            <v>46300</v>
          </cell>
        </row>
        <row r="268">
          <cell r="A268" t="str">
            <v>TZK0E28</v>
          </cell>
          <cell r="B268" t="str">
            <v>SRJ10</v>
          </cell>
          <cell r="C268" t="str">
            <v>ATIVA</v>
          </cell>
          <cell r="D268" t="str">
            <v>LOCALIZA</v>
          </cell>
          <cell r="E268">
            <v>46303</v>
          </cell>
        </row>
        <row r="269">
          <cell r="A269" t="str">
            <v>TZK7F76</v>
          </cell>
          <cell r="B269" t="str">
            <v>SRJ10</v>
          </cell>
          <cell r="C269" t="str">
            <v>ATIVA</v>
          </cell>
          <cell r="D269" t="str">
            <v>LOCALIZA</v>
          </cell>
          <cell r="E269">
            <v>46303</v>
          </cell>
        </row>
        <row r="270">
          <cell r="A270" t="str">
            <v>TZK7F79</v>
          </cell>
          <cell r="B270" t="str">
            <v>SRJ10</v>
          </cell>
          <cell r="C270" t="str">
            <v>ATIVA</v>
          </cell>
          <cell r="D270" t="str">
            <v>LOCALIZA</v>
          </cell>
          <cell r="E270">
            <v>46303</v>
          </cell>
        </row>
        <row r="271">
          <cell r="A271" t="str">
            <v>TZK7F80</v>
          </cell>
          <cell r="B271" t="str">
            <v>SRJ10</v>
          </cell>
          <cell r="C271" t="str">
            <v>ATIVA</v>
          </cell>
          <cell r="D271" t="str">
            <v>LOCALIZA</v>
          </cell>
          <cell r="E271">
            <v>46303</v>
          </cell>
        </row>
        <row r="272">
          <cell r="A272" t="str">
            <v>TZK7F81</v>
          </cell>
          <cell r="B272" t="str">
            <v>SRJ10</v>
          </cell>
          <cell r="C272" t="str">
            <v>MANUTENÇÃO</v>
          </cell>
          <cell r="D272" t="str">
            <v>LOCALIZA</v>
          </cell>
          <cell r="E272">
            <v>46303</v>
          </cell>
        </row>
        <row r="273">
          <cell r="A273" t="str">
            <v>TZK7F83</v>
          </cell>
          <cell r="B273" t="str">
            <v>SRJ10</v>
          </cell>
          <cell r="C273" t="str">
            <v>ATIVA</v>
          </cell>
          <cell r="D273" t="str">
            <v>LOCALIZA</v>
          </cell>
          <cell r="E273">
            <v>46303</v>
          </cell>
        </row>
        <row r="274">
          <cell r="A274" t="str">
            <v>TZK7F87</v>
          </cell>
          <cell r="B274" t="str">
            <v>SRJ10</v>
          </cell>
          <cell r="C274" t="str">
            <v>ATIVA</v>
          </cell>
          <cell r="D274" t="str">
            <v>LOCALIZA</v>
          </cell>
          <cell r="E274">
            <v>46302</v>
          </cell>
        </row>
        <row r="275">
          <cell r="A275" t="str">
            <v>TZK7F88</v>
          </cell>
          <cell r="B275" t="str">
            <v>SRJ10</v>
          </cell>
          <cell r="C275" t="str">
            <v>ATIVA</v>
          </cell>
          <cell r="D275" t="str">
            <v>LOCALIZA</v>
          </cell>
          <cell r="E275">
            <v>46303</v>
          </cell>
        </row>
        <row r="276">
          <cell r="A276" t="str">
            <v>TZK7F90</v>
          </cell>
          <cell r="B276" t="str">
            <v>SRJ10</v>
          </cell>
          <cell r="C276" t="str">
            <v>ATIVA</v>
          </cell>
          <cell r="D276" t="str">
            <v>LOCALIZA</v>
          </cell>
          <cell r="E276">
            <v>46303</v>
          </cell>
        </row>
        <row r="277">
          <cell r="A277" t="str">
            <v>TZK7F91</v>
          </cell>
          <cell r="B277" t="str">
            <v>SRJ10</v>
          </cell>
          <cell r="C277" t="str">
            <v>ATIVA</v>
          </cell>
          <cell r="D277" t="str">
            <v>LOCALIZA</v>
          </cell>
          <cell r="E277">
            <v>46303</v>
          </cell>
        </row>
        <row r="278">
          <cell r="A278" t="str">
            <v>TZK7G13</v>
          </cell>
          <cell r="B278" t="str">
            <v>SRJ10</v>
          </cell>
          <cell r="C278" t="str">
            <v>ATIVA</v>
          </cell>
          <cell r="D278" t="str">
            <v>LOCALIZA</v>
          </cell>
          <cell r="E278">
            <v>46303</v>
          </cell>
        </row>
        <row r="279">
          <cell r="A279" t="str">
            <v>TDY1G59</v>
          </cell>
          <cell r="B279" t="str">
            <v>SRJ7</v>
          </cell>
          <cell r="C279" t="str">
            <v>TROCAR PLACA</v>
          </cell>
          <cell r="D279" t="str">
            <v>LOCALIZA/PORTAL</v>
          </cell>
          <cell r="E279">
            <v>46169</v>
          </cell>
        </row>
        <row r="280">
          <cell r="A280" t="str">
            <v>TET8E19</v>
          </cell>
          <cell r="B280" t="str">
            <v>SRJ7</v>
          </cell>
          <cell r="C280" t="str">
            <v>TROCAR PLACA</v>
          </cell>
          <cell r="D280" t="str">
            <v>LOCALIZA/PORTAL</v>
          </cell>
          <cell r="E280">
            <v>46246</v>
          </cell>
        </row>
        <row r="281">
          <cell r="A281" t="str">
            <v>TYI9E76</v>
          </cell>
          <cell r="B281" t="str">
            <v>SRJ7</v>
          </cell>
          <cell r="C281" t="str">
            <v>TROCAR PLACA</v>
          </cell>
          <cell r="D281" t="str">
            <v>LOCALIZA/PORTAL</v>
          </cell>
          <cell r="E281">
            <v>46283</v>
          </cell>
        </row>
        <row r="282">
          <cell r="A282" t="str">
            <v>TZI2C82</v>
          </cell>
          <cell r="B282" t="str">
            <v>SRJ8</v>
          </cell>
          <cell r="C282" t="str">
            <v>MANUTENÇÃO</v>
          </cell>
          <cell r="D282" t="str">
            <v>LM TRANPORTES</v>
          </cell>
          <cell r="E282">
            <v>46255</v>
          </cell>
        </row>
        <row r="283">
          <cell r="A283" t="str">
            <v>TZI2D97</v>
          </cell>
          <cell r="B283" t="str">
            <v>SRJ8</v>
          </cell>
          <cell r="C283" t="str">
            <v>ATIVA</v>
          </cell>
          <cell r="D283" t="str">
            <v>LM TRANPORTES</v>
          </cell>
          <cell r="E283">
            <v>46302</v>
          </cell>
        </row>
        <row r="284">
          <cell r="A284" t="str">
            <v>TZI3I07</v>
          </cell>
          <cell r="B284" t="str">
            <v>SRJ8</v>
          </cell>
          <cell r="C284" t="str">
            <v>ATIVA</v>
          </cell>
          <cell r="D284" t="str">
            <v>LM TRANPORTES</v>
          </cell>
          <cell r="E284">
            <v>46303</v>
          </cell>
        </row>
        <row r="285">
          <cell r="A285" t="str">
            <v>TZI3I10</v>
          </cell>
          <cell r="B285" t="str">
            <v>SRJ8</v>
          </cell>
          <cell r="C285" t="str">
            <v>ATIVA</v>
          </cell>
          <cell r="D285" t="str">
            <v>LM TRANPORTES</v>
          </cell>
          <cell r="E285">
            <v>46303</v>
          </cell>
        </row>
        <row r="286">
          <cell r="A286" t="str">
            <v>TZI3I17</v>
          </cell>
          <cell r="B286" t="str">
            <v>SRJ8</v>
          </cell>
          <cell r="C286" t="str">
            <v>MANUTENÇÃO</v>
          </cell>
          <cell r="D286" t="str">
            <v>LM TRANPORTES</v>
          </cell>
          <cell r="E286">
            <v>46272</v>
          </cell>
        </row>
        <row r="287">
          <cell r="A287" t="str">
            <v>TZO8I81</v>
          </cell>
          <cell r="B287" t="str">
            <v>SRJ8</v>
          </cell>
          <cell r="C287" t="str">
            <v>ATIVA</v>
          </cell>
          <cell r="D287" t="str">
            <v>LM TRANPORTES</v>
          </cell>
          <cell r="E287">
            <v>46303</v>
          </cell>
        </row>
        <row r="288">
          <cell r="A288" t="str">
            <v>UDC6J75</v>
          </cell>
          <cell r="B288" t="str">
            <v>SRJ8</v>
          </cell>
          <cell r="C288" t="str">
            <v>ATIVA</v>
          </cell>
          <cell r="D288" t="str">
            <v>LM TRANPORTES</v>
          </cell>
          <cell r="E288">
            <v>46303</v>
          </cell>
        </row>
        <row r="289">
          <cell r="A289" t="str">
            <v>UDL1B21</v>
          </cell>
          <cell r="B289" t="str">
            <v>SRJ8</v>
          </cell>
          <cell r="C289" t="str">
            <v>ATIVA</v>
          </cell>
          <cell r="D289" t="str">
            <v>LM TRANPORTES</v>
          </cell>
          <cell r="E289">
            <v>46303</v>
          </cell>
        </row>
        <row r="290">
          <cell r="A290" t="str">
            <v>UFI2I06</v>
          </cell>
          <cell r="B290" t="str">
            <v>SRJ8</v>
          </cell>
          <cell r="C290" t="str">
            <v>ATIVA</v>
          </cell>
          <cell r="D290" t="str">
            <v>LM TRANPORTES</v>
          </cell>
          <cell r="E290">
            <v>46303</v>
          </cell>
        </row>
        <row r="291">
          <cell r="A291" t="str">
            <v>TZI6A44</v>
          </cell>
          <cell r="B291" t="str">
            <v>SRJ8</v>
          </cell>
          <cell r="C291" t="str">
            <v>ATIVA</v>
          </cell>
          <cell r="D291" t="str">
            <v>VAMOS</v>
          </cell>
          <cell r="E291">
            <v>46303</v>
          </cell>
        </row>
        <row r="292">
          <cell r="A292" t="str">
            <v>TZI6A49</v>
          </cell>
          <cell r="B292" t="str">
            <v>SRJ8</v>
          </cell>
          <cell r="C292" t="str">
            <v>ATIVA</v>
          </cell>
          <cell r="D292" t="str">
            <v>VAMOS</v>
          </cell>
          <cell r="E292">
            <v>46303</v>
          </cell>
        </row>
        <row r="293">
          <cell r="A293" t="str">
            <v>TZV1F05</v>
          </cell>
          <cell r="B293" t="str">
            <v>SRJ8</v>
          </cell>
          <cell r="C293" t="str">
            <v>ATIVA</v>
          </cell>
          <cell r="D293" t="str">
            <v>VAMOS</v>
          </cell>
          <cell r="E293">
            <v>46303</v>
          </cell>
        </row>
        <row r="294">
          <cell r="A294" t="str">
            <v>TZV1F01</v>
          </cell>
          <cell r="B294" t="str">
            <v>SRJ8</v>
          </cell>
          <cell r="C294" t="str">
            <v>ATIVA</v>
          </cell>
          <cell r="D294" t="str">
            <v>VAMOS</v>
          </cell>
          <cell r="E294">
            <v>46303</v>
          </cell>
        </row>
        <row r="295">
          <cell r="A295" t="str">
            <v>TZV1E99</v>
          </cell>
          <cell r="B295" t="str">
            <v>SRJ8</v>
          </cell>
          <cell r="C295" t="str">
            <v>ATIVA</v>
          </cell>
          <cell r="D295" t="str">
            <v>VAMOS</v>
          </cell>
          <cell r="E295">
            <v>46303</v>
          </cell>
        </row>
        <row r="296">
          <cell r="A296" t="str">
            <v>TZV1E97</v>
          </cell>
          <cell r="B296" t="str">
            <v>SRJ8</v>
          </cell>
          <cell r="C296" t="str">
            <v>ATIVA</v>
          </cell>
          <cell r="D296" t="str">
            <v>VAMOS</v>
          </cell>
          <cell r="E296">
            <v>46303</v>
          </cell>
        </row>
        <row r="297">
          <cell r="A297" t="str">
            <v>TZV1E89</v>
          </cell>
          <cell r="B297" t="str">
            <v>SRJ8</v>
          </cell>
          <cell r="C297" t="str">
            <v>ATIVA</v>
          </cell>
          <cell r="D297" t="str">
            <v>VAMOS</v>
          </cell>
          <cell r="E297">
            <v>46303</v>
          </cell>
        </row>
        <row r="298">
          <cell r="A298" t="str">
            <v>TZV1E88</v>
          </cell>
          <cell r="B298" t="str">
            <v>SRJ8</v>
          </cell>
          <cell r="C298" t="str">
            <v>ATIVA</v>
          </cell>
          <cell r="D298" t="str">
            <v>VAMOS</v>
          </cell>
          <cell r="E298">
            <v>46303</v>
          </cell>
        </row>
        <row r="299">
          <cell r="A299" t="str">
            <v>TZV1E86</v>
          </cell>
          <cell r="B299" t="str">
            <v>SRJ8</v>
          </cell>
          <cell r="C299" t="str">
            <v>ATIVA</v>
          </cell>
          <cell r="D299" t="str">
            <v>VAMOS</v>
          </cell>
          <cell r="E299">
            <v>46303</v>
          </cell>
        </row>
        <row r="300">
          <cell r="A300" t="str">
            <v>TZP6B28</v>
          </cell>
          <cell r="B300" t="str">
            <v>SRJ4</v>
          </cell>
          <cell r="C300" t="str">
            <v>ATIVA</v>
          </cell>
          <cell r="D300" t="str">
            <v>VAMOS</v>
          </cell>
          <cell r="E300">
            <v>46303</v>
          </cell>
        </row>
        <row r="301">
          <cell r="A301" t="str">
            <v>TZQ7B50</v>
          </cell>
          <cell r="B301" t="str">
            <v>SRJ7</v>
          </cell>
          <cell r="C301" t="str">
            <v>MANUTENÇÃO</v>
          </cell>
          <cell r="D301" t="str">
            <v>VAMOS</v>
          </cell>
          <cell r="E301">
            <v>46298</v>
          </cell>
        </row>
        <row r="302">
          <cell r="A302" t="str">
            <v>TZQ7B51</v>
          </cell>
          <cell r="B302" t="str">
            <v>SRJ7</v>
          </cell>
          <cell r="C302" t="str">
            <v>ATIVA</v>
          </cell>
          <cell r="D302" t="str">
            <v>VAMOS</v>
          </cell>
          <cell r="E302">
            <v>46303</v>
          </cell>
        </row>
        <row r="303">
          <cell r="A303" t="str">
            <v>TZQ7B52</v>
          </cell>
          <cell r="B303" t="str">
            <v>SRJ4</v>
          </cell>
          <cell r="C303" t="str">
            <v>ATIVA</v>
          </cell>
          <cell r="D303" t="str">
            <v>VAMOS</v>
          </cell>
          <cell r="E303">
            <v>46303</v>
          </cell>
        </row>
        <row r="304">
          <cell r="A304" t="str">
            <v>TZQ7B53</v>
          </cell>
          <cell r="B304" t="str">
            <v>SRJ4</v>
          </cell>
          <cell r="C304" t="str">
            <v>ATIVA</v>
          </cell>
          <cell r="D304" t="str">
            <v>VAMOS</v>
          </cell>
          <cell r="E304">
            <v>46303</v>
          </cell>
        </row>
        <row r="305">
          <cell r="A305" t="str">
            <v>TZI0C46</v>
          </cell>
          <cell r="B305" t="str">
            <v>SRJ1</v>
          </cell>
          <cell r="C305" t="str">
            <v>ATIVA</v>
          </cell>
          <cell r="D305" t="str">
            <v>LM TRANPORTES</v>
          </cell>
          <cell r="E305">
            <v>46303</v>
          </cell>
        </row>
        <row r="306">
          <cell r="A306" t="str">
            <v>TJV0G47</v>
          </cell>
          <cell r="B306" t="str">
            <v>SRJ1</v>
          </cell>
          <cell r="C306" t="str">
            <v>ATIVA</v>
          </cell>
          <cell r="D306" t="str">
            <v>LM TRANPORTES</v>
          </cell>
          <cell r="E306">
            <v>46302</v>
          </cell>
        </row>
        <row r="307">
          <cell r="A307" t="str">
            <v>QSR8G51</v>
          </cell>
          <cell r="B307" t="str">
            <v>SRJ1</v>
          </cell>
          <cell r="C307" t="str">
            <v>ATIVA</v>
          </cell>
          <cell r="D307" t="str">
            <v>LM TRANPORTES</v>
          </cell>
          <cell r="E307">
            <v>46290</v>
          </cell>
        </row>
        <row r="308">
          <cell r="A308" t="str">
            <v>TLQ1J14</v>
          </cell>
          <cell r="B308" t="str">
            <v>SRJ1</v>
          </cell>
          <cell r="C308" t="str">
            <v>ATIVA</v>
          </cell>
          <cell r="D308" t="str">
            <v>LM TRANPORTES</v>
          </cell>
          <cell r="E308">
            <v>46303</v>
          </cell>
        </row>
        <row r="309">
          <cell r="A309" t="str">
            <v>QSW6D63</v>
          </cell>
          <cell r="B309" t="str">
            <v>SRJ1</v>
          </cell>
          <cell r="C309" t="str">
            <v>ATIVA</v>
          </cell>
          <cell r="D309" t="str">
            <v>LM TRANPORTES</v>
          </cell>
          <cell r="E309">
            <v>46302</v>
          </cell>
        </row>
        <row r="310">
          <cell r="A310" t="str">
            <v>TZM0A64</v>
          </cell>
          <cell r="B310" t="str">
            <v>SRJ10</v>
          </cell>
          <cell r="C310" t="str">
            <v>ATIVA</v>
          </cell>
          <cell r="D310" t="str">
            <v>LOCALIZA</v>
          </cell>
          <cell r="E310">
            <v>46303</v>
          </cell>
        </row>
        <row r="311">
          <cell r="A311" t="str">
            <v>UGT4I35</v>
          </cell>
          <cell r="B311" t="str">
            <v>SRJ10</v>
          </cell>
          <cell r="C311" t="str">
            <v>ATIVA</v>
          </cell>
          <cell r="D311" t="str">
            <v>TKS</v>
          </cell>
          <cell r="E311">
            <v>46303</v>
          </cell>
        </row>
        <row r="312">
          <cell r="A312" t="str">
            <v>UFR5D56</v>
          </cell>
          <cell r="B312" t="str">
            <v>SRJ10</v>
          </cell>
          <cell r="C312" t="str">
            <v>ATIVA</v>
          </cell>
          <cell r="D312" t="str">
            <v>TKS</v>
          </cell>
          <cell r="E312">
            <v>46303</v>
          </cell>
        </row>
        <row r="313">
          <cell r="A313" t="str">
            <v>UGD7H04</v>
          </cell>
          <cell r="B313" t="str">
            <v>SRJ10</v>
          </cell>
          <cell r="C313" t="str">
            <v>ATIVA</v>
          </cell>
          <cell r="D313" t="str">
            <v>TKS</v>
          </cell>
          <cell r="E313">
            <v>46302</v>
          </cell>
        </row>
        <row r="314">
          <cell r="A314" t="str">
            <v>UFS2F07</v>
          </cell>
          <cell r="B314" t="str">
            <v>SRJ10</v>
          </cell>
          <cell r="C314" t="str">
            <v>ATIVA</v>
          </cell>
          <cell r="D314" t="str">
            <v>TKS</v>
          </cell>
          <cell r="E314">
            <v>46303</v>
          </cell>
        </row>
        <row r="315">
          <cell r="A315" t="str">
            <v>UDJ5F85</v>
          </cell>
          <cell r="B315" t="str">
            <v>SRJ10</v>
          </cell>
          <cell r="C315" t="str">
            <v>ATIVA</v>
          </cell>
          <cell r="D315" t="str">
            <v>TKS</v>
          </cell>
          <cell r="E315">
            <v>46303</v>
          </cell>
        </row>
        <row r="316">
          <cell r="A316" t="str">
            <v>UCE5B49</v>
          </cell>
          <cell r="B316" t="str">
            <v>SMG3</v>
          </cell>
          <cell r="C316" t="str">
            <v>ATIVA</v>
          </cell>
          <cell r="D316" t="str">
            <v>TKS</v>
          </cell>
          <cell r="E316">
            <v>46303</v>
          </cell>
        </row>
        <row r="317">
          <cell r="A317" t="str">
            <v>UCE5E77</v>
          </cell>
          <cell r="B317" t="str">
            <v>SMG3</v>
          </cell>
          <cell r="C317" t="str">
            <v>ATIVA</v>
          </cell>
          <cell r="D317" t="str">
            <v>TKS</v>
          </cell>
          <cell r="E317">
            <v>46303</v>
          </cell>
        </row>
        <row r="318">
          <cell r="A318" t="str">
            <v>UCE5C45</v>
          </cell>
          <cell r="B318" t="str">
            <v>SMG3</v>
          </cell>
          <cell r="C318" t="str">
            <v>ATIVA</v>
          </cell>
          <cell r="D318" t="str">
            <v>TKS</v>
          </cell>
          <cell r="E318">
            <v>46303</v>
          </cell>
        </row>
        <row r="319">
          <cell r="A319" t="str">
            <v>UAE9E74</v>
          </cell>
          <cell r="B319" t="str">
            <v>SMG3</v>
          </cell>
          <cell r="C319" t="str">
            <v>ATIVA</v>
          </cell>
          <cell r="D319" t="str">
            <v>VAMOS</v>
          </cell>
          <cell r="E319">
            <v>0</v>
          </cell>
        </row>
        <row r="320">
          <cell r="A320" t="str">
            <v>UAE9E78</v>
          </cell>
          <cell r="B320" t="str">
            <v>SMG3</v>
          </cell>
          <cell r="C320" t="str">
            <v>ATIVA</v>
          </cell>
          <cell r="D320" t="str">
            <v>VAMOS</v>
          </cell>
          <cell r="E320">
            <v>46303</v>
          </cell>
        </row>
        <row r="321">
          <cell r="A321" t="str">
            <v>UAF1F90</v>
          </cell>
          <cell r="B321" t="str">
            <v>SMG3</v>
          </cell>
          <cell r="C321" t="str">
            <v>ATIVA</v>
          </cell>
          <cell r="D321" t="str">
            <v>VAMOS</v>
          </cell>
          <cell r="E321">
            <v>46303</v>
          </cell>
        </row>
        <row r="322">
          <cell r="A322" t="str">
            <v>UAF1F91</v>
          </cell>
          <cell r="B322" t="str">
            <v>SMG3</v>
          </cell>
          <cell r="C322" t="str">
            <v>ATIVA</v>
          </cell>
          <cell r="D322" t="str">
            <v>VAMOS</v>
          </cell>
          <cell r="E322">
            <v>46303</v>
          </cell>
        </row>
        <row r="323">
          <cell r="A323" t="str">
            <v>UAE9E89</v>
          </cell>
          <cell r="B323" t="str">
            <v>SMG3</v>
          </cell>
          <cell r="C323" t="str">
            <v>ATIVA</v>
          </cell>
          <cell r="D323" t="str">
            <v>VAMOS</v>
          </cell>
          <cell r="E323">
            <v>46303</v>
          </cell>
        </row>
        <row r="324">
          <cell r="A324" t="str">
            <v>TYD1F90</v>
          </cell>
          <cell r="B324" t="str">
            <v>SRJ7</v>
          </cell>
          <cell r="C324" t="str">
            <v>ATIVA</v>
          </cell>
          <cell r="D324" t="str">
            <v>LOCALIZA</v>
          </cell>
          <cell r="E324">
            <v>46303</v>
          </cell>
        </row>
        <row r="325">
          <cell r="A325" t="str">
            <v>UCM6G40</v>
          </cell>
          <cell r="B325" t="str">
            <v>SES2</v>
          </cell>
          <cell r="C325" t="str">
            <v>MANUTENÇÃO</v>
          </cell>
          <cell r="D325" t="str">
            <v>LM TRANPORTES</v>
          </cell>
          <cell r="E325">
            <v>46288</v>
          </cell>
        </row>
        <row r="326">
          <cell r="A326" t="str">
            <v>UCM7F89</v>
          </cell>
          <cell r="B326" t="str">
            <v>SRJ4</v>
          </cell>
          <cell r="C326" t="str">
            <v>ATIVA</v>
          </cell>
          <cell r="D326" t="str">
            <v>LM TRANPORTES</v>
          </cell>
          <cell r="E326">
            <v>46303</v>
          </cell>
        </row>
        <row r="327">
          <cell r="A327" t="str">
            <v>UCM7F91</v>
          </cell>
          <cell r="B327" t="str">
            <v>SRJ4</v>
          </cell>
          <cell r="C327" t="str">
            <v>ATIVA</v>
          </cell>
          <cell r="D327" t="str">
            <v>LM TRANPORTES</v>
          </cell>
          <cell r="E327">
            <v>46303</v>
          </cell>
        </row>
        <row r="328">
          <cell r="A328" t="str">
            <v>UCM5A93</v>
          </cell>
          <cell r="B328" t="str">
            <v>SRJ4</v>
          </cell>
          <cell r="C328" t="str">
            <v>ATIVA</v>
          </cell>
          <cell r="D328" t="str">
            <v>LM TRANPORTES</v>
          </cell>
          <cell r="E328">
            <v>46303</v>
          </cell>
        </row>
        <row r="329">
          <cell r="A329" t="str">
            <v>UCM6C20</v>
          </cell>
          <cell r="B329" t="str">
            <v>SRJ8</v>
          </cell>
          <cell r="C329" t="str">
            <v>ATIVA</v>
          </cell>
          <cell r="D329" t="str">
            <v>LM TRANPORTES</v>
          </cell>
          <cell r="E329">
            <v>46303</v>
          </cell>
        </row>
        <row r="330">
          <cell r="A330" t="str">
            <v>UAG5E18</v>
          </cell>
          <cell r="B330" t="str">
            <v>SMG3</v>
          </cell>
          <cell r="C330" t="str">
            <v>ATIVA</v>
          </cell>
          <cell r="D330" t="str">
            <v>VAMOS</v>
          </cell>
          <cell r="E330">
            <v>46300</v>
          </cell>
        </row>
        <row r="331">
          <cell r="A331" t="str">
            <v>UAG5E23</v>
          </cell>
          <cell r="B331" t="str">
            <v>SMG3</v>
          </cell>
          <cell r="C331" t="str">
            <v>MANUTENÇÃO</v>
          </cell>
          <cell r="D331" t="str">
            <v>VAMOS</v>
          </cell>
          <cell r="E331">
            <v>46294</v>
          </cell>
        </row>
        <row r="332">
          <cell r="A332" t="str">
            <v>UAG5E44</v>
          </cell>
          <cell r="B332" t="str">
            <v>SMG3</v>
          </cell>
          <cell r="C332" t="str">
            <v>ATIVA</v>
          </cell>
          <cell r="D332" t="str">
            <v>VAMOS</v>
          </cell>
          <cell r="E332">
            <v>46303</v>
          </cell>
        </row>
        <row r="333">
          <cell r="A333" t="str">
            <v>UCN5H68</v>
          </cell>
          <cell r="B333" t="str">
            <v>SRJ4</v>
          </cell>
          <cell r="C333" t="str">
            <v>ATIVA</v>
          </cell>
          <cell r="D333" t="str">
            <v>LM TRANPORTES</v>
          </cell>
          <cell r="E333">
            <v>46303</v>
          </cell>
        </row>
        <row r="334">
          <cell r="A334" t="str">
            <v>UAG5E39</v>
          </cell>
          <cell r="B334" t="str">
            <v>SMG3</v>
          </cell>
          <cell r="C334" t="str">
            <v>MANUTENÇÃO</v>
          </cell>
          <cell r="D334" t="str">
            <v>VAMOS</v>
          </cell>
          <cell r="E334">
            <v>46289</v>
          </cell>
        </row>
        <row r="335">
          <cell r="A335" t="str">
            <v>UAG5E54</v>
          </cell>
          <cell r="B335" t="str">
            <v>SMG3</v>
          </cell>
          <cell r="C335" t="str">
            <v>ATIVA</v>
          </cell>
          <cell r="D335" t="str">
            <v>VAMOS</v>
          </cell>
          <cell r="E335">
            <v>46303</v>
          </cell>
        </row>
        <row r="336">
          <cell r="A336" t="str">
            <v>UCN5H71</v>
          </cell>
          <cell r="B336" t="str">
            <v>SRJ4</v>
          </cell>
          <cell r="C336" t="str">
            <v>ATIVA</v>
          </cell>
          <cell r="D336" t="str">
            <v>LM TRANPORTES</v>
          </cell>
          <cell r="E336">
            <v>46303</v>
          </cell>
        </row>
        <row r="337">
          <cell r="A337" t="str">
            <v xml:space="preserve">UCO0B60 </v>
          </cell>
          <cell r="B337" t="str">
            <v>SES2</v>
          </cell>
          <cell r="C337" t="str">
            <v>MANUTENÇÃO</v>
          </cell>
          <cell r="D337" t="str">
            <v>LM TRANPORTES</v>
          </cell>
          <cell r="E337">
            <v>0</v>
          </cell>
        </row>
        <row r="338">
          <cell r="A338" t="str">
            <v xml:space="preserve">UCN5I89  </v>
          </cell>
          <cell r="B338" t="str">
            <v>SES2</v>
          </cell>
          <cell r="C338" t="str">
            <v>ATIVA</v>
          </cell>
          <cell r="D338" t="str">
            <v>LM TRANPORTES</v>
          </cell>
          <cell r="E338">
            <v>0</v>
          </cell>
        </row>
        <row r="339">
          <cell r="A339" t="str">
            <v xml:space="preserve">UCN5J01 </v>
          </cell>
          <cell r="B339" t="str">
            <v>SES2</v>
          </cell>
          <cell r="C339" t="str">
            <v>ATIVA</v>
          </cell>
          <cell r="D339" t="str">
            <v>LM TRANPORTES</v>
          </cell>
          <cell r="E339">
            <v>0</v>
          </cell>
        </row>
        <row r="340">
          <cell r="A340" t="str">
            <v xml:space="preserve">UCN5I81  </v>
          </cell>
          <cell r="B340" t="str">
            <v>SES2</v>
          </cell>
          <cell r="C340" t="str">
            <v>MANUTENÇÃO</v>
          </cell>
          <cell r="D340" t="str">
            <v>LM TRANPORTES</v>
          </cell>
          <cell r="E340">
            <v>0</v>
          </cell>
        </row>
        <row r="341">
          <cell r="A341" t="str">
            <v>TZR6A70</v>
          </cell>
          <cell r="B341" t="str">
            <v>SMG3</v>
          </cell>
          <cell r="C341" t="str">
            <v>ATIVA</v>
          </cell>
          <cell r="D341" t="str">
            <v>LOCALIZA</v>
          </cell>
          <cell r="E341">
            <v>46300</v>
          </cell>
        </row>
        <row r="342">
          <cell r="A342" t="str">
            <v>UCM5J76</v>
          </cell>
          <cell r="B342" t="str">
            <v>SMG3</v>
          </cell>
          <cell r="C342" t="str">
            <v>ATIVA</v>
          </cell>
          <cell r="D342" t="str">
            <v>TKS</v>
          </cell>
          <cell r="E342">
            <v>46303</v>
          </cell>
        </row>
        <row r="343">
          <cell r="A343" t="str">
            <v>UCL8B30</v>
          </cell>
          <cell r="B343" t="str">
            <v>SMG3</v>
          </cell>
          <cell r="C343" t="str">
            <v>ATIVA</v>
          </cell>
          <cell r="D343" t="str">
            <v>TKS</v>
          </cell>
          <cell r="E343">
            <v>46303</v>
          </cell>
        </row>
        <row r="344">
          <cell r="A344" t="str">
            <v>UCL7J83</v>
          </cell>
          <cell r="B344" t="str">
            <v>SMG3</v>
          </cell>
          <cell r="C344" t="str">
            <v>ATIVA</v>
          </cell>
          <cell r="D344" t="str">
            <v>TKS</v>
          </cell>
          <cell r="E344">
            <v>46303</v>
          </cell>
        </row>
        <row r="345">
          <cell r="A345" t="str">
            <v>UCL8B44</v>
          </cell>
          <cell r="B345" t="str">
            <v>SMG3</v>
          </cell>
          <cell r="C345" t="str">
            <v>ATIVA</v>
          </cell>
          <cell r="D345" t="str">
            <v>TKS</v>
          </cell>
          <cell r="E345">
            <v>46303</v>
          </cell>
        </row>
        <row r="346">
          <cell r="A346" t="str">
            <v>UCL8B10</v>
          </cell>
          <cell r="B346" t="str">
            <v>SMG3</v>
          </cell>
          <cell r="C346" t="str">
            <v>ATIVA</v>
          </cell>
          <cell r="D346" t="str">
            <v>TKS</v>
          </cell>
          <cell r="E346">
            <v>46303</v>
          </cell>
        </row>
        <row r="347">
          <cell r="A347" t="str">
            <v>UCL7J84</v>
          </cell>
          <cell r="B347" t="str">
            <v>SMG3</v>
          </cell>
          <cell r="C347" t="str">
            <v>ATIVA</v>
          </cell>
          <cell r="D347" t="str">
            <v>TKS</v>
          </cell>
          <cell r="E347">
            <v>46302</v>
          </cell>
        </row>
        <row r="348">
          <cell r="A348" t="str">
            <v>UCL8A66</v>
          </cell>
          <cell r="B348" t="str">
            <v>SMG3</v>
          </cell>
          <cell r="C348" t="str">
            <v>ATIVA</v>
          </cell>
          <cell r="D348" t="str">
            <v>TKS</v>
          </cell>
          <cell r="E348">
            <v>46303</v>
          </cell>
        </row>
        <row r="349">
          <cell r="A349" t="str">
            <v>UVL9F73</v>
          </cell>
          <cell r="B349" t="str">
            <v>SRJ4</v>
          </cell>
          <cell r="C349" t="str">
            <v>ATIVA</v>
          </cell>
          <cell r="D349" t="str">
            <v>VAMOS</v>
          </cell>
          <cell r="E349">
            <v>46303</v>
          </cell>
        </row>
        <row r="350">
          <cell r="A350" t="str">
            <v>UCN5I92</v>
          </cell>
          <cell r="B350" t="str">
            <v>SES2</v>
          </cell>
          <cell r="C350" t="str">
            <v>ATIVA</v>
          </cell>
          <cell r="D350" t="str">
            <v>LM TRANPORTES</v>
          </cell>
          <cell r="E350">
            <v>46303</v>
          </cell>
        </row>
        <row r="351">
          <cell r="A351" t="str">
            <v>UVL9F71</v>
          </cell>
          <cell r="B351" t="str">
            <v>SRJ4</v>
          </cell>
          <cell r="C351" t="str">
            <v>ATIVA</v>
          </cell>
          <cell r="D351" t="str">
            <v>VAMOS</v>
          </cell>
          <cell r="E351">
            <v>46303</v>
          </cell>
        </row>
        <row r="352">
          <cell r="A352" t="str">
            <v>UVL9F72</v>
          </cell>
          <cell r="B352" t="str">
            <v>SRJ4</v>
          </cell>
          <cell r="C352" t="str">
            <v>ATIVA</v>
          </cell>
          <cell r="D352" t="str">
            <v>VAMOS</v>
          </cell>
          <cell r="E352">
            <v>46303</v>
          </cell>
        </row>
        <row r="353">
          <cell r="A353" t="str">
            <v>UVL9F75</v>
          </cell>
          <cell r="B353" t="str">
            <v>SRJ4</v>
          </cell>
          <cell r="C353" t="str">
            <v>ATIVA</v>
          </cell>
          <cell r="D353" t="str">
            <v>VAMOS</v>
          </cell>
          <cell r="E353">
            <v>46303</v>
          </cell>
        </row>
        <row r="354">
          <cell r="A354" t="str">
            <v>UVL9F77</v>
          </cell>
          <cell r="B354" t="str">
            <v>SRJ4</v>
          </cell>
          <cell r="C354" t="str">
            <v>ATIVA</v>
          </cell>
          <cell r="D354" t="str">
            <v>VAMOS</v>
          </cell>
          <cell r="E354">
            <v>46303</v>
          </cell>
        </row>
        <row r="355">
          <cell r="A355" t="str">
            <v>TUG6J78</v>
          </cell>
          <cell r="B355" t="str">
            <v>SES1</v>
          </cell>
          <cell r="C355" t="str">
            <v>ATIVA</v>
          </cell>
          <cell r="D355" t="str">
            <v>DELUNA</v>
          </cell>
          <cell r="E355">
            <v>46300</v>
          </cell>
        </row>
        <row r="356">
          <cell r="A356" t="str">
            <v>TUG6J79</v>
          </cell>
          <cell r="B356" t="str">
            <v>SRJ10</v>
          </cell>
          <cell r="C356" t="str">
            <v>ATIVA</v>
          </cell>
          <cell r="D356" t="str">
            <v>DELUNA</v>
          </cell>
          <cell r="E356">
            <v>46303</v>
          </cell>
        </row>
        <row r="357">
          <cell r="A357" t="str">
            <v>TUG6J80</v>
          </cell>
          <cell r="B357" t="str">
            <v>SRJ10</v>
          </cell>
          <cell r="C357" t="str">
            <v>ATIVA</v>
          </cell>
          <cell r="D357" t="str">
            <v>DELUNA</v>
          </cell>
          <cell r="E357">
            <v>46303</v>
          </cell>
        </row>
        <row r="358">
          <cell r="A358" t="str">
            <v>TUG6J81</v>
          </cell>
          <cell r="B358" t="str">
            <v>SRJ10</v>
          </cell>
          <cell r="C358" t="str">
            <v>ATIVA</v>
          </cell>
          <cell r="D358" t="str">
            <v>DELUNA</v>
          </cell>
          <cell r="E358">
            <v>46302</v>
          </cell>
        </row>
        <row r="359">
          <cell r="A359" t="str">
            <v>SSE4G34</v>
          </cell>
          <cell r="B359" t="str">
            <v>SRJ10</v>
          </cell>
          <cell r="C359" t="str">
            <v>ATIVA</v>
          </cell>
          <cell r="D359" t="str">
            <v>DELUNA</v>
          </cell>
          <cell r="E359">
            <v>46303</v>
          </cell>
        </row>
        <row r="360">
          <cell r="A360" t="str">
            <v>TTC0H70</v>
          </cell>
          <cell r="B360" t="str">
            <v>SRJ10</v>
          </cell>
          <cell r="C360" t="str">
            <v>ATIVA</v>
          </cell>
          <cell r="D360" t="str">
            <v>DELUNA</v>
          </cell>
          <cell r="E360">
            <v>46303</v>
          </cell>
        </row>
        <row r="361">
          <cell r="A361" t="str">
            <v>UVN4F22</v>
          </cell>
          <cell r="B361" t="str">
            <v>SRJ9</v>
          </cell>
          <cell r="C361" t="str">
            <v>ATIVA</v>
          </cell>
          <cell r="D361" t="str">
            <v>VAMOS</v>
          </cell>
          <cell r="E361">
            <v>46303</v>
          </cell>
        </row>
        <row r="362">
          <cell r="A362" t="str">
            <v>UVN4F19</v>
          </cell>
          <cell r="B362" t="str">
            <v>SRJ9</v>
          </cell>
          <cell r="C362" t="str">
            <v>ATIVA</v>
          </cell>
          <cell r="D362" t="str">
            <v>VAMOS</v>
          </cell>
          <cell r="E362">
            <v>46303</v>
          </cell>
        </row>
        <row r="363">
          <cell r="A363" t="str">
            <v>UVN4F28</v>
          </cell>
          <cell r="B363" t="str">
            <v>SRJ8</v>
          </cell>
          <cell r="C363" t="str">
            <v>ATIVA</v>
          </cell>
          <cell r="D363" t="str">
            <v>VAMOS</v>
          </cell>
          <cell r="E363">
            <v>46303</v>
          </cell>
        </row>
        <row r="364">
          <cell r="A364" t="str">
            <v>UVN4F21</v>
          </cell>
          <cell r="B364" t="str">
            <v>SRJ8</v>
          </cell>
          <cell r="C364" t="str">
            <v>ATIVA</v>
          </cell>
          <cell r="D364" t="str">
            <v>VAMOS</v>
          </cell>
          <cell r="E364">
            <v>46302</v>
          </cell>
        </row>
        <row r="365">
          <cell r="A365" t="str">
            <v>UVN4F23</v>
          </cell>
          <cell r="B365" t="str">
            <v>SRJ9</v>
          </cell>
          <cell r="C365" t="str">
            <v>ATIVA</v>
          </cell>
          <cell r="D365" t="str">
            <v>VAMOS</v>
          </cell>
          <cell r="E365">
            <v>46302</v>
          </cell>
        </row>
        <row r="366">
          <cell r="A366" t="str">
            <v>UCM5G87</v>
          </cell>
          <cell r="B366" t="str">
            <v>SRJ10</v>
          </cell>
          <cell r="C366" t="str">
            <v>SEM DRIVER</v>
          </cell>
          <cell r="D366" t="str">
            <v>TKS</v>
          </cell>
          <cell r="E366">
            <v>0</v>
          </cell>
        </row>
        <row r="367">
          <cell r="A367" t="str">
            <v>UCM5J77</v>
          </cell>
          <cell r="B367" t="str">
            <v>SMG3</v>
          </cell>
          <cell r="C367" t="str">
            <v>ATIVA</v>
          </cell>
          <cell r="D367" t="str">
            <v>TKS</v>
          </cell>
          <cell r="E367">
            <v>46303</v>
          </cell>
        </row>
        <row r="368">
          <cell r="A368" t="str">
            <v>TXO1C04</v>
          </cell>
          <cell r="B368" t="str">
            <v>SES1</v>
          </cell>
          <cell r="C368" t="str">
            <v>ATIVA</v>
          </cell>
          <cell r="D368" t="str">
            <v>LOCALIZA</v>
          </cell>
          <cell r="E368">
            <v>0</v>
          </cell>
        </row>
        <row r="369">
          <cell r="A369" t="str">
            <v>UVW1D21</v>
          </cell>
          <cell r="B369" t="str">
            <v>SRJ9</v>
          </cell>
          <cell r="C369" t="str">
            <v>ATIVA</v>
          </cell>
          <cell r="D369" t="str">
            <v>VAMOS</v>
          </cell>
          <cell r="E369">
            <v>0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2"/>
  <sheetViews>
    <sheetView tabSelected="1" workbookViewId="0">
      <pane ySplit="1" topLeftCell="A41" activePane="bottomLeft" state="frozen"/>
      <selection pane="bottomLeft" activeCell="B2" sqref="B2:B172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225</v>
      </c>
      <c r="C1" s="1" t="s">
        <v>226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224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46304</v>
      </c>
    </row>
    <row r="2" spans="1:18" x14ac:dyDescent="0.3">
      <c r="A2" t="s">
        <v>9</v>
      </c>
      <c r="B2" s="2">
        <f>VLOOKUP(A2,'[1]13.10'!$A:$E,5,0)</f>
        <v>46303</v>
      </c>
      <c r="C2">
        <f ca="1">B2-$R$1</f>
        <v>-1</v>
      </c>
      <c r="D2" t="s">
        <v>186</v>
      </c>
      <c r="E2" t="s">
        <v>186</v>
      </c>
      <c r="F2" t="s">
        <v>186</v>
      </c>
      <c r="G2" t="s">
        <v>186</v>
      </c>
      <c r="H2" t="s">
        <v>186</v>
      </c>
      <c r="I2" t="s">
        <v>186</v>
      </c>
      <c r="J2" t="s">
        <v>10</v>
      </c>
      <c r="K2" t="s">
        <v>11</v>
      </c>
      <c r="L2" t="s">
        <v>12</v>
      </c>
      <c r="M2" t="s">
        <v>180</v>
      </c>
      <c r="N2" t="s">
        <v>13</v>
      </c>
      <c r="O2" t="s">
        <v>218</v>
      </c>
      <c r="P2" s="2"/>
      <c r="Q2" s="2">
        <v>46139</v>
      </c>
    </row>
    <row r="3" spans="1:18" x14ac:dyDescent="0.3">
      <c r="A3" t="s">
        <v>14</v>
      </c>
      <c r="B3" s="2">
        <f>VLOOKUP(A3,'[1]13.10'!$A:$E,5,0)</f>
        <v>46303</v>
      </c>
      <c r="C3">
        <f t="shared" ref="C3:C66" ca="1" si="0">B3-$R$1</f>
        <v>-1</v>
      </c>
      <c r="D3" t="s">
        <v>186</v>
      </c>
      <c r="E3" t="s">
        <v>186</v>
      </c>
      <c r="F3" t="s">
        <v>186</v>
      </c>
      <c r="G3" t="s">
        <v>186</v>
      </c>
      <c r="H3" t="s">
        <v>186</v>
      </c>
      <c r="I3" t="s">
        <v>186</v>
      </c>
      <c r="J3" t="s">
        <v>10</v>
      </c>
      <c r="K3" t="s">
        <v>11</v>
      </c>
      <c r="L3" t="s">
        <v>12</v>
      </c>
      <c r="M3" t="s">
        <v>180</v>
      </c>
      <c r="N3" t="s">
        <v>13</v>
      </c>
      <c r="O3" t="s">
        <v>218</v>
      </c>
      <c r="P3" s="2"/>
      <c r="Q3" s="2">
        <v>46139</v>
      </c>
    </row>
    <row r="4" spans="1:18" x14ac:dyDescent="0.3">
      <c r="A4" t="s">
        <v>15</v>
      </c>
      <c r="B4" s="2">
        <f>VLOOKUP(A4,'[1]13.10'!$A:$E,5,0)</f>
        <v>46302</v>
      </c>
      <c r="C4">
        <f t="shared" ca="1" si="0"/>
        <v>-2</v>
      </c>
      <c r="D4" t="s">
        <v>186</v>
      </c>
      <c r="E4" t="s">
        <v>186</v>
      </c>
      <c r="F4" t="s">
        <v>186</v>
      </c>
      <c r="G4" t="s">
        <v>186</v>
      </c>
      <c r="H4" t="s">
        <v>186</v>
      </c>
      <c r="I4" t="s">
        <v>186</v>
      </c>
      <c r="J4" t="s">
        <v>10</v>
      </c>
      <c r="K4" t="s">
        <v>11</v>
      </c>
      <c r="L4" t="s">
        <v>12</v>
      </c>
      <c r="M4" t="s">
        <v>180</v>
      </c>
      <c r="N4" t="s">
        <v>13</v>
      </c>
      <c r="O4" t="s">
        <v>218</v>
      </c>
      <c r="P4" s="2"/>
      <c r="Q4" s="2">
        <v>46139</v>
      </c>
    </row>
    <row r="5" spans="1:18" x14ac:dyDescent="0.3">
      <c r="A5" t="s">
        <v>16</v>
      </c>
      <c r="B5" s="2">
        <f>VLOOKUP(A5,'[1]13.10'!$A:$E,5,0)</f>
        <v>46303</v>
      </c>
      <c r="C5">
        <f t="shared" ca="1" si="0"/>
        <v>-1</v>
      </c>
      <c r="D5" t="s">
        <v>186</v>
      </c>
      <c r="E5" t="s">
        <v>186</v>
      </c>
      <c r="F5" t="s">
        <v>186</v>
      </c>
      <c r="G5" t="s">
        <v>186</v>
      </c>
      <c r="H5" t="s">
        <v>186</v>
      </c>
      <c r="I5" t="s">
        <v>186</v>
      </c>
      <c r="J5" t="s">
        <v>17</v>
      </c>
      <c r="K5" t="s">
        <v>11</v>
      </c>
      <c r="L5" t="s">
        <v>12</v>
      </c>
      <c r="M5" t="s">
        <v>180</v>
      </c>
      <c r="N5" t="s">
        <v>13</v>
      </c>
      <c r="O5" t="s">
        <v>218</v>
      </c>
      <c r="P5" s="2"/>
      <c r="Q5" s="2">
        <v>46139</v>
      </c>
    </row>
    <row r="6" spans="1:18" x14ac:dyDescent="0.3">
      <c r="A6" t="s">
        <v>18</v>
      </c>
      <c r="B6" s="2">
        <f>VLOOKUP(A6,'[1]13.10'!$A:$E,5,0)</f>
        <v>46303</v>
      </c>
      <c r="C6">
        <f t="shared" ca="1" si="0"/>
        <v>-1</v>
      </c>
      <c r="D6" t="s">
        <v>186</v>
      </c>
      <c r="E6" t="s">
        <v>186</v>
      </c>
      <c r="F6" t="s">
        <v>186</v>
      </c>
      <c r="G6" t="s">
        <v>186</v>
      </c>
      <c r="H6" t="s">
        <v>186</v>
      </c>
      <c r="I6" t="s">
        <v>186</v>
      </c>
      <c r="J6" t="s">
        <v>17</v>
      </c>
      <c r="K6" t="s">
        <v>11</v>
      </c>
      <c r="L6" t="s">
        <v>12</v>
      </c>
      <c r="M6" t="s">
        <v>180</v>
      </c>
      <c r="N6" t="s">
        <v>13</v>
      </c>
      <c r="O6" t="s">
        <v>218</v>
      </c>
      <c r="P6" s="2"/>
      <c r="Q6" s="2">
        <v>46139</v>
      </c>
    </row>
    <row r="7" spans="1:18" x14ac:dyDescent="0.3">
      <c r="A7" t="s">
        <v>19</v>
      </c>
      <c r="B7" s="2">
        <f>VLOOKUP(A7,'[1]13.10'!$A:$E,5,0)</f>
        <v>46302</v>
      </c>
      <c r="C7">
        <f t="shared" ca="1" si="0"/>
        <v>-2</v>
      </c>
      <c r="D7" t="s">
        <v>186</v>
      </c>
      <c r="E7" t="s">
        <v>186</v>
      </c>
      <c r="F7" t="s">
        <v>186</v>
      </c>
      <c r="G7" t="s">
        <v>186</v>
      </c>
      <c r="H7" t="s">
        <v>186</v>
      </c>
      <c r="I7" t="s">
        <v>186</v>
      </c>
      <c r="J7" t="s">
        <v>17</v>
      </c>
      <c r="K7" t="s">
        <v>11</v>
      </c>
      <c r="L7" t="s">
        <v>12</v>
      </c>
      <c r="M7" t="s">
        <v>180</v>
      </c>
      <c r="N7" t="s">
        <v>13</v>
      </c>
      <c r="O7" t="s">
        <v>218</v>
      </c>
      <c r="P7" s="2"/>
      <c r="Q7" s="2">
        <v>46139</v>
      </c>
    </row>
    <row r="8" spans="1:18" x14ac:dyDescent="0.3">
      <c r="A8" t="s">
        <v>20</v>
      </c>
      <c r="B8" s="2">
        <f>VLOOKUP(A8,'[1]13.10'!$A:$E,5,0)</f>
        <v>46303</v>
      </c>
      <c r="C8">
        <f t="shared" ca="1" si="0"/>
        <v>-1</v>
      </c>
      <c r="D8" t="s">
        <v>186</v>
      </c>
      <c r="E8" t="s">
        <v>186</v>
      </c>
      <c r="F8" t="s">
        <v>186</v>
      </c>
      <c r="G8" t="s">
        <v>186</v>
      </c>
      <c r="H8" t="s">
        <v>186</v>
      </c>
      <c r="I8" t="s">
        <v>186</v>
      </c>
      <c r="J8" t="s">
        <v>17</v>
      </c>
      <c r="K8" t="s">
        <v>11</v>
      </c>
      <c r="L8" t="s">
        <v>12</v>
      </c>
      <c r="M8" t="s">
        <v>180</v>
      </c>
      <c r="N8" t="s">
        <v>13</v>
      </c>
      <c r="O8" t="s">
        <v>218</v>
      </c>
      <c r="P8" s="2"/>
      <c r="Q8" s="2">
        <v>46139</v>
      </c>
    </row>
    <row r="9" spans="1:18" x14ac:dyDescent="0.3">
      <c r="A9" t="s">
        <v>21</v>
      </c>
      <c r="B9" s="2">
        <f>VLOOKUP(A9,'[1]13.10'!$A:$E,5,0)</f>
        <v>46300</v>
      </c>
      <c r="C9">
        <f t="shared" ca="1" si="0"/>
        <v>-4</v>
      </c>
      <c r="D9" t="s">
        <v>186</v>
      </c>
      <c r="E9" t="s">
        <v>186</v>
      </c>
      <c r="F9" t="s">
        <v>186</v>
      </c>
      <c r="G9" t="s">
        <v>186</v>
      </c>
      <c r="H9" t="s">
        <v>186</v>
      </c>
      <c r="I9" t="s">
        <v>186</v>
      </c>
      <c r="J9" t="s">
        <v>17</v>
      </c>
      <c r="K9" t="s">
        <v>11</v>
      </c>
      <c r="L9" t="s">
        <v>12</v>
      </c>
      <c r="M9" t="s">
        <v>180</v>
      </c>
      <c r="N9" t="s">
        <v>13</v>
      </c>
      <c r="O9" t="s">
        <v>218</v>
      </c>
      <c r="P9" s="2"/>
      <c r="Q9" s="2">
        <v>46139</v>
      </c>
    </row>
    <row r="10" spans="1:18" x14ac:dyDescent="0.3">
      <c r="A10" t="s">
        <v>22</v>
      </c>
      <c r="B10" s="2">
        <f>VLOOKUP(A10,'[1]13.10'!$A:$E,5,0)</f>
        <v>46303</v>
      </c>
      <c r="C10">
        <f t="shared" ca="1" si="0"/>
        <v>-1</v>
      </c>
      <c r="D10" t="s">
        <v>186</v>
      </c>
      <c r="E10" t="s">
        <v>186</v>
      </c>
      <c r="F10" t="s">
        <v>186</v>
      </c>
      <c r="G10" t="s">
        <v>186</v>
      </c>
      <c r="H10" t="s">
        <v>186</v>
      </c>
      <c r="I10" t="s">
        <v>186</v>
      </c>
      <c r="J10" t="s">
        <v>23</v>
      </c>
      <c r="K10" t="s">
        <v>11</v>
      </c>
      <c r="L10" t="s">
        <v>24</v>
      </c>
      <c r="M10" t="s">
        <v>25</v>
      </c>
      <c r="N10" t="s">
        <v>26</v>
      </c>
      <c r="O10" t="s">
        <v>219</v>
      </c>
      <c r="P10" s="2">
        <v>46171</v>
      </c>
      <c r="Q10" s="2">
        <v>46171</v>
      </c>
    </row>
    <row r="11" spans="1:18" x14ac:dyDescent="0.3">
      <c r="A11" t="s">
        <v>27</v>
      </c>
      <c r="B11" s="2">
        <f>VLOOKUP(A11,'[1]13.10'!$A:$E,5,0)</f>
        <v>46303</v>
      </c>
      <c r="C11">
        <f t="shared" ca="1" si="0"/>
        <v>-1</v>
      </c>
      <c r="D11" t="s">
        <v>186</v>
      </c>
      <c r="E11" t="s">
        <v>186</v>
      </c>
      <c r="F11" t="s">
        <v>186</v>
      </c>
      <c r="G11" t="s">
        <v>186</v>
      </c>
      <c r="H11" t="s">
        <v>186</v>
      </c>
      <c r="I11" t="s">
        <v>186</v>
      </c>
      <c r="J11" t="s">
        <v>23</v>
      </c>
      <c r="K11" t="s">
        <v>11</v>
      </c>
      <c r="L11" t="s">
        <v>24</v>
      </c>
      <c r="M11" t="s">
        <v>25</v>
      </c>
      <c r="N11" t="s">
        <v>26</v>
      </c>
      <c r="O11" t="s">
        <v>219</v>
      </c>
      <c r="P11" s="2">
        <v>46171</v>
      </c>
      <c r="Q11" s="2">
        <v>46171</v>
      </c>
    </row>
    <row r="12" spans="1:18" x14ac:dyDescent="0.3">
      <c r="A12" t="s">
        <v>28</v>
      </c>
      <c r="B12" s="2">
        <f>VLOOKUP(A12,'[1]13.10'!$A:$E,5,0)</f>
        <v>46298</v>
      </c>
      <c r="C12">
        <f t="shared" ca="1" si="0"/>
        <v>-6</v>
      </c>
      <c r="D12" t="s">
        <v>186</v>
      </c>
      <c r="E12" t="s">
        <v>186</v>
      </c>
      <c r="F12" t="s">
        <v>186</v>
      </c>
      <c r="G12" t="s">
        <v>186</v>
      </c>
      <c r="H12" t="s">
        <v>186</v>
      </c>
      <c r="I12" t="s">
        <v>186</v>
      </c>
      <c r="J12" t="s">
        <v>29</v>
      </c>
      <c r="K12" t="s">
        <v>11</v>
      </c>
      <c r="L12" t="s">
        <v>30</v>
      </c>
      <c r="M12" t="s">
        <v>25</v>
      </c>
      <c r="N12" t="s">
        <v>31</v>
      </c>
      <c r="O12" t="s">
        <v>220</v>
      </c>
      <c r="P12" s="2">
        <v>46207</v>
      </c>
      <c r="Q12" s="2">
        <v>46206</v>
      </c>
    </row>
    <row r="13" spans="1:18" x14ac:dyDescent="0.3">
      <c r="A13" t="s">
        <v>32</v>
      </c>
      <c r="B13" s="2">
        <f>VLOOKUP(A13,'[1]13.10'!$A:$E,5,0)</f>
        <v>46303</v>
      </c>
      <c r="C13">
        <f t="shared" ca="1" si="0"/>
        <v>-1</v>
      </c>
      <c r="D13" t="s">
        <v>186</v>
      </c>
      <c r="E13" t="s">
        <v>186</v>
      </c>
      <c r="F13" t="s">
        <v>186</v>
      </c>
      <c r="G13" t="s">
        <v>186</v>
      </c>
      <c r="H13" t="s">
        <v>186</v>
      </c>
      <c r="I13" t="s">
        <v>186</v>
      </c>
      <c r="J13" t="s">
        <v>33</v>
      </c>
      <c r="K13" t="s">
        <v>34</v>
      </c>
      <c r="L13" t="s">
        <v>30</v>
      </c>
      <c r="M13" t="s">
        <v>35</v>
      </c>
      <c r="N13" t="s">
        <v>36</v>
      </c>
      <c r="O13" t="s">
        <v>221</v>
      </c>
      <c r="P13" s="2" t="s">
        <v>179</v>
      </c>
      <c r="Q13" s="2">
        <v>46202</v>
      </c>
    </row>
    <row r="14" spans="1:18" x14ac:dyDescent="0.3">
      <c r="A14" t="s">
        <v>37</v>
      </c>
      <c r="B14" s="2">
        <f>VLOOKUP(A14,'[1]13.10'!$A:$E,5,0)</f>
        <v>46303</v>
      </c>
      <c r="C14">
        <f t="shared" ca="1" si="0"/>
        <v>-1</v>
      </c>
      <c r="D14" t="s">
        <v>186</v>
      </c>
      <c r="E14" t="s">
        <v>186</v>
      </c>
      <c r="F14" t="s">
        <v>186</v>
      </c>
      <c r="G14" t="s">
        <v>186</v>
      </c>
      <c r="H14" t="s">
        <v>186</v>
      </c>
      <c r="I14" t="s">
        <v>186</v>
      </c>
      <c r="J14" t="s">
        <v>33</v>
      </c>
      <c r="K14" t="s">
        <v>34</v>
      </c>
      <c r="L14" t="s">
        <v>30</v>
      </c>
      <c r="M14" t="s">
        <v>35</v>
      </c>
      <c r="N14" t="s">
        <v>36</v>
      </c>
      <c r="O14" t="s">
        <v>221</v>
      </c>
      <c r="P14" s="2" t="s">
        <v>179</v>
      </c>
      <c r="Q14" s="2">
        <v>46202</v>
      </c>
    </row>
    <row r="15" spans="1:18" x14ac:dyDescent="0.3">
      <c r="A15" t="s">
        <v>38</v>
      </c>
      <c r="B15" s="2">
        <f>VLOOKUP(A15,'[1]13.10'!$A:$E,5,0)</f>
        <v>46303</v>
      </c>
      <c r="C15">
        <f t="shared" ca="1" si="0"/>
        <v>-1</v>
      </c>
      <c r="D15" t="s">
        <v>186</v>
      </c>
      <c r="E15" t="s">
        <v>186</v>
      </c>
      <c r="F15" t="s">
        <v>186</v>
      </c>
      <c r="G15" t="s">
        <v>186</v>
      </c>
      <c r="H15" t="s">
        <v>186</v>
      </c>
      <c r="I15" t="s">
        <v>186</v>
      </c>
      <c r="J15" t="s">
        <v>33</v>
      </c>
      <c r="K15" t="s">
        <v>34</v>
      </c>
      <c r="L15" t="s">
        <v>30</v>
      </c>
      <c r="M15" t="s">
        <v>35</v>
      </c>
      <c r="N15" t="s">
        <v>36</v>
      </c>
      <c r="O15" t="s">
        <v>221</v>
      </c>
      <c r="P15" s="2" t="s">
        <v>179</v>
      </c>
      <c r="Q15" s="2">
        <v>46204</v>
      </c>
    </row>
    <row r="16" spans="1:18" x14ac:dyDescent="0.3">
      <c r="A16" t="s">
        <v>39</v>
      </c>
      <c r="B16" s="2">
        <f>VLOOKUP(A16,'[1]13.10'!$A:$E,5,0)</f>
        <v>46303</v>
      </c>
      <c r="C16">
        <f t="shared" ca="1" si="0"/>
        <v>-1</v>
      </c>
      <c r="D16" t="s">
        <v>186</v>
      </c>
      <c r="E16" t="s">
        <v>186</v>
      </c>
      <c r="F16" t="s">
        <v>186</v>
      </c>
      <c r="G16" t="s">
        <v>186</v>
      </c>
      <c r="H16" t="s">
        <v>186</v>
      </c>
      <c r="I16" t="s">
        <v>186</v>
      </c>
      <c r="J16" t="s">
        <v>33</v>
      </c>
      <c r="K16" t="s">
        <v>34</v>
      </c>
      <c r="L16" t="s">
        <v>30</v>
      </c>
      <c r="M16" t="s">
        <v>35</v>
      </c>
      <c r="N16" t="s">
        <v>36</v>
      </c>
      <c r="O16" t="s">
        <v>221</v>
      </c>
      <c r="P16" s="2" t="s">
        <v>179</v>
      </c>
      <c r="Q16" s="2">
        <v>46202</v>
      </c>
    </row>
    <row r="17" spans="1:17" x14ac:dyDescent="0.3">
      <c r="A17" t="s">
        <v>40</v>
      </c>
      <c r="B17" s="2">
        <f>VLOOKUP(A17,'[1]13.10'!$A:$E,5,0)</f>
        <v>46303</v>
      </c>
      <c r="C17">
        <f t="shared" ca="1" si="0"/>
        <v>-1</v>
      </c>
      <c r="D17" t="s">
        <v>186</v>
      </c>
      <c r="E17" t="s">
        <v>186</v>
      </c>
      <c r="F17" t="s">
        <v>186</v>
      </c>
      <c r="G17" t="s">
        <v>186</v>
      </c>
      <c r="H17" t="s">
        <v>186</v>
      </c>
      <c r="I17" t="s">
        <v>186</v>
      </c>
      <c r="J17" t="s">
        <v>33</v>
      </c>
      <c r="K17" t="s">
        <v>34</v>
      </c>
      <c r="L17" t="s">
        <v>30</v>
      </c>
      <c r="M17" t="s">
        <v>35</v>
      </c>
      <c r="N17" t="s">
        <v>36</v>
      </c>
      <c r="O17" t="s">
        <v>221</v>
      </c>
      <c r="P17" s="2" t="s">
        <v>179</v>
      </c>
      <c r="Q17" s="2">
        <v>46202</v>
      </c>
    </row>
    <row r="18" spans="1:17" x14ac:dyDescent="0.3">
      <c r="A18" t="s">
        <v>41</v>
      </c>
      <c r="B18" s="2">
        <f>VLOOKUP(A18,'[1]13.10'!$A:$E,5,0)</f>
        <v>46303</v>
      </c>
      <c r="C18">
        <f t="shared" ca="1" si="0"/>
        <v>-1</v>
      </c>
      <c r="D18" t="s">
        <v>186</v>
      </c>
      <c r="E18" t="s">
        <v>186</v>
      </c>
      <c r="F18" t="s">
        <v>186</v>
      </c>
      <c r="G18" t="s">
        <v>186</v>
      </c>
      <c r="H18" t="s">
        <v>186</v>
      </c>
      <c r="I18" t="s">
        <v>186</v>
      </c>
      <c r="J18" t="s">
        <v>33</v>
      </c>
      <c r="K18" t="s">
        <v>34</v>
      </c>
      <c r="L18" t="s">
        <v>30</v>
      </c>
      <c r="M18" t="s">
        <v>35</v>
      </c>
      <c r="N18" t="s">
        <v>36</v>
      </c>
      <c r="O18" t="s">
        <v>221</v>
      </c>
      <c r="P18" s="2" t="s">
        <v>179</v>
      </c>
      <c r="Q18" s="2">
        <v>46202</v>
      </c>
    </row>
    <row r="19" spans="1:17" x14ac:dyDescent="0.3">
      <c r="A19" t="s">
        <v>42</v>
      </c>
      <c r="B19" s="2">
        <f>VLOOKUP(A19,'[1]13.10'!$A:$E,5,0)</f>
        <v>46303</v>
      </c>
      <c r="C19">
        <f t="shared" ca="1" si="0"/>
        <v>-1</v>
      </c>
      <c r="D19" t="s">
        <v>186</v>
      </c>
      <c r="E19" t="s">
        <v>186</v>
      </c>
      <c r="F19" t="s">
        <v>186</v>
      </c>
      <c r="G19" t="s">
        <v>186</v>
      </c>
      <c r="H19" t="s">
        <v>186</v>
      </c>
      <c r="I19" t="s">
        <v>186</v>
      </c>
      <c r="J19" t="s">
        <v>33</v>
      </c>
      <c r="K19" t="s">
        <v>34</v>
      </c>
      <c r="L19" t="s">
        <v>30</v>
      </c>
      <c r="M19" t="s">
        <v>35</v>
      </c>
      <c r="N19" t="s">
        <v>36</v>
      </c>
      <c r="O19" t="s">
        <v>221</v>
      </c>
      <c r="P19" s="2">
        <v>46211</v>
      </c>
      <c r="Q19" s="2">
        <v>46211</v>
      </c>
    </row>
    <row r="20" spans="1:17" x14ac:dyDescent="0.3">
      <c r="A20" t="s">
        <v>43</v>
      </c>
      <c r="B20" s="2">
        <f>VLOOKUP(A20,'[1]13.10'!$A:$E,5,0)</f>
        <v>46303</v>
      </c>
      <c r="C20">
        <f t="shared" ca="1" si="0"/>
        <v>-1</v>
      </c>
      <c r="D20" t="s">
        <v>186</v>
      </c>
      <c r="E20" t="s">
        <v>186</v>
      </c>
      <c r="F20" t="s">
        <v>186</v>
      </c>
      <c r="G20" t="s">
        <v>186</v>
      </c>
      <c r="H20" t="s">
        <v>186</v>
      </c>
      <c r="I20" t="s">
        <v>186</v>
      </c>
      <c r="J20" t="s">
        <v>33</v>
      </c>
      <c r="K20" t="s">
        <v>34</v>
      </c>
      <c r="L20" t="s">
        <v>30</v>
      </c>
      <c r="M20" t="s">
        <v>35</v>
      </c>
      <c r="N20" t="s">
        <v>36</v>
      </c>
      <c r="O20" t="s">
        <v>221</v>
      </c>
      <c r="P20" s="2" t="s">
        <v>179</v>
      </c>
      <c r="Q20" s="2">
        <v>46202</v>
      </c>
    </row>
    <row r="21" spans="1:17" x14ac:dyDescent="0.3">
      <c r="A21" t="s">
        <v>44</v>
      </c>
      <c r="B21" s="2">
        <f>VLOOKUP(A21,'[1]13.10'!$A:$E,5,0)</f>
        <v>46300</v>
      </c>
      <c r="C21">
        <f t="shared" ca="1" si="0"/>
        <v>-4</v>
      </c>
      <c r="D21" t="s">
        <v>186</v>
      </c>
      <c r="E21" t="s">
        <v>186</v>
      </c>
      <c r="F21" t="s">
        <v>186</v>
      </c>
      <c r="G21" t="s">
        <v>186</v>
      </c>
      <c r="H21" t="s">
        <v>186</v>
      </c>
      <c r="I21" t="s">
        <v>186</v>
      </c>
      <c r="J21" t="s">
        <v>33</v>
      </c>
      <c r="K21" t="s">
        <v>34</v>
      </c>
      <c r="L21" t="s">
        <v>30</v>
      </c>
      <c r="M21" t="s">
        <v>35</v>
      </c>
      <c r="N21" t="s">
        <v>36</v>
      </c>
      <c r="O21" t="s">
        <v>221</v>
      </c>
      <c r="P21" s="2" t="s">
        <v>179</v>
      </c>
      <c r="Q21" s="2">
        <v>46202</v>
      </c>
    </row>
    <row r="22" spans="1:17" x14ac:dyDescent="0.3">
      <c r="A22" t="s">
        <v>45</v>
      </c>
      <c r="B22" s="2">
        <f>VLOOKUP(A22,'[1]13.10'!$A:$E,5,0)</f>
        <v>46301</v>
      </c>
      <c r="C22">
        <f t="shared" ca="1" si="0"/>
        <v>-3</v>
      </c>
      <c r="D22" t="s">
        <v>186</v>
      </c>
      <c r="E22" t="s">
        <v>186</v>
      </c>
      <c r="F22" t="s">
        <v>186</v>
      </c>
      <c r="G22" t="s">
        <v>186</v>
      </c>
      <c r="H22" t="s">
        <v>186</v>
      </c>
      <c r="I22" t="s">
        <v>186</v>
      </c>
      <c r="J22" t="s">
        <v>46</v>
      </c>
      <c r="K22" t="s">
        <v>11</v>
      </c>
      <c r="L22" t="s">
        <v>30</v>
      </c>
      <c r="M22" t="s">
        <v>35</v>
      </c>
      <c r="N22" t="s">
        <v>36</v>
      </c>
      <c r="O22" t="s">
        <v>221</v>
      </c>
      <c r="P22" s="2">
        <v>46190</v>
      </c>
      <c r="Q22" s="2">
        <v>46190</v>
      </c>
    </row>
    <row r="23" spans="1:17" x14ac:dyDescent="0.3">
      <c r="A23" t="s">
        <v>47</v>
      </c>
      <c r="B23" s="2">
        <f>VLOOKUP(A23,'[1]13.10'!$A:$E,5,0)</f>
        <v>46302</v>
      </c>
      <c r="C23">
        <f t="shared" ca="1" si="0"/>
        <v>-2</v>
      </c>
      <c r="D23" t="s">
        <v>186</v>
      </c>
      <c r="E23" t="s">
        <v>186</v>
      </c>
      <c r="F23" t="s">
        <v>186</v>
      </c>
      <c r="G23" t="s">
        <v>186</v>
      </c>
      <c r="H23" t="s">
        <v>186</v>
      </c>
      <c r="I23" t="s">
        <v>186</v>
      </c>
      <c r="J23" t="s">
        <v>46</v>
      </c>
      <c r="K23" t="s">
        <v>11</v>
      </c>
      <c r="L23" t="s">
        <v>30</v>
      </c>
      <c r="M23" t="s">
        <v>35</v>
      </c>
      <c r="N23" t="s">
        <v>36</v>
      </c>
      <c r="O23" t="s">
        <v>221</v>
      </c>
      <c r="P23" s="2">
        <v>46190</v>
      </c>
      <c r="Q23" s="2">
        <v>46190</v>
      </c>
    </row>
    <row r="24" spans="1:17" x14ac:dyDescent="0.3">
      <c r="A24" t="s">
        <v>48</v>
      </c>
      <c r="B24" s="2">
        <f>VLOOKUP(A24,'[1]13.10'!$A:$E,5,0)</f>
        <v>46303</v>
      </c>
      <c r="C24">
        <f t="shared" ca="1" si="0"/>
        <v>-1</v>
      </c>
      <c r="D24" t="s">
        <v>186</v>
      </c>
      <c r="E24" t="s">
        <v>186</v>
      </c>
      <c r="F24" t="s">
        <v>186</v>
      </c>
      <c r="G24" t="s">
        <v>186</v>
      </c>
      <c r="H24" t="s">
        <v>186</v>
      </c>
      <c r="I24" t="s">
        <v>186</v>
      </c>
      <c r="J24" t="s">
        <v>46</v>
      </c>
      <c r="K24" t="s">
        <v>11</v>
      </c>
      <c r="L24" t="s">
        <v>30</v>
      </c>
      <c r="M24" t="s">
        <v>35</v>
      </c>
      <c r="N24" t="s">
        <v>36</v>
      </c>
      <c r="O24" t="s">
        <v>221</v>
      </c>
      <c r="P24" s="2">
        <v>46189</v>
      </c>
      <c r="Q24" s="2">
        <v>46185</v>
      </c>
    </row>
    <row r="25" spans="1:17" x14ac:dyDescent="0.3">
      <c r="A25" t="s">
        <v>49</v>
      </c>
      <c r="B25" s="2">
        <f>VLOOKUP(A25,'[1]13.10'!$A:$E,5,0)</f>
        <v>46303</v>
      </c>
      <c r="C25">
        <f t="shared" ca="1" si="0"/>
        <v>-1</v>
      </c>
      <c r="D25" t="s">
        <v>186</v>
      </c>
      <c r="E25" t="s">
        <v>186</v>
      </c>
      <c r="F25" t="s">
        <v>186</v>
      </c>
      <c r="G25" t="s">
        <v>186</v>
      </c>
      <c r="H25" t="s">
        <v>186</v>
      </c>
      <c r="I25" t="s">
        <v>186</v>
      </c>
      <c r="J25" t="s">
        <v>46</v>
      </c>
      <c r="K25" t="s">
        <v>11</v>
      </c>
      <c r="L25" t="s">
        <v>30</v>
      </c>
      <c r="M25" t="s">
        <v>35</v>
      </c>
      <c r="N25" t="s">
        <v>36</v>
      </c>
      <c r="O25" t="s">
        <v>221</v>
      </c>
      <c r="P25" s="2">
        <v>46189</v>
      </c>
      <c r="Q25" s="2">
        <v>46185</v>
      </c>
    </row>
    <row r="26" spans="1:17" x14ac:dyDescent="0.3">
      <c r="A26" t="s">
        <v>50</v>
      </c>
      <c r="B26" s="2">
        <f>VLOOKUP(A26,'[1]13.10'!$A:$E,5,0)</f>
        <v>46302</v>
      </c>
      <c r="C26">
        <f t="shared" ca="1" si="0"/>
        <v>-2</v>
      </c>
      <c r="D26" t="s">
        <v>186</v>
      </c>
      <c r="E26" t="s">
        <v>186</v>
      </c>
      <c r="F26" t="s">
        <v>186</v>
      </c>
      <c r="G26" t="s">
        <v>186</v>
      </c>
      <c r="H26" t="s">
        <v>186</v>
      </c>
      <c r="I26" t="s">
        <v>186</v>
      </c>
      <c r="J26" t="s">
        <v>46</v>
      </c>
      <c r="K26" t="s">
        <v>11</v>
      </c>
      <c r="L26" t="s">
        <v>30</v>
      </c>
      <c r="M26" t="s">
        <v>35</v>
      </c>
      <c r="N26" t="s">
        <v>36</v>
      </c>
      <c r="O26" t="s">
        <v>221</v>
      </c>
      <c r="P26" s="2">
        <v>46189</v>
      </c>
      <c r="Q26" s="2">
        <v>46185</v>
      </c>
    </row>
    <row r="27" spans="1:17" x14ac:dyDescent="0.3">
      <c r="A27" t="s">
        <v>51</v>
      </c>
      <c r="B27" s="2">
        <f>VLOOKUP(A27,'[1]13.10'!$A:$E,5,0)</f>
        <v>46302</v>
      </c>
      <c r="C27">
        <f t="shared" ca="1" si="0"/>
        <v>-2</v>
      </c>
      <c r="D27" t="s">
        <v>186</v>
      </c>
      <c r="E27" t="s">
        <v>186</v>
      </c>
      <c r="F27" t="s">
        <v>186</v>
      </c>
      <c r="G27" t="s">
        <v>186</v>
      </c>
      <c r="H27" t="s">
        <v>186</v>
      </c>
      <c r="I27" t="s">
        <v>186</v>
      </c>
      <c r="J27" t="s">
        <v>46</v>
      </c>
      <c r="K27" t="s">
        <v>11</v>
      </c>
      <c r="L27" t="s">
        <v>30</v>
      </c>
      <c r="M27" t="s">
        <v>35</v>
      </c>
      <c r="N27" t="s">
        <v>36</v>
      </c>
      <c r="O27" t="s">
        <v>221</v>
      </c>
      <c r="P27" s="2">
        <v>46189</v>
      </c>
      <c r="Q27" s="2">
        <v>46185</v>
      </c>
    </row>
    <row r="28" spans="1:17" x14ac:dyDescent="0.3">
      <c r="A28" t="s">
        <v>52</v>
      </c>
      <c r="B28" s="2">
        <f>VLOOKUP(A28,'[1]13.10'!$A:$E,5,0)</f>
        <v>46303</v>
      </c>
      <c r="C28">
        <f t="shared" ca="1" si="0"/>
        <v>-1</v>
      </c>
      <c r="D28" t="s">
        <v>186</v>
      </c>
      <c r="E28" t="s">
        <v>186</v>
      </c>
      <c r="F28" t="s">
        <v>186</v>
      </c>
      <c r="G28" t="s">
        <v>186</v>
      </c>
      <c r="H28" t="s">
        <v>186</v>
      </c>
      <c r="I28" t="s">
        <v>186</v>
      </c>
      <c r="J28" t="s">
        <v>46</v>
      </c>
      <c r="K28" t="s">
        <v>11</v>
      </c>
      <c r="L28" t="s">
        <v>30</v>
      </c>
      <c r="M28" t="s">
        <v>35</v>
      </c>
      <c r="N28" t="s">
        <v>36</v>
      </c>
      <c r="O28" t="s">
        <v>221</v>
      </c>
      <c r="P28" s="2">
        <v>46190</v>
      </c>
      <c r="Q28" s="2">
        <v>46190</v>
      </c>
    </row>
    <row r="29" spans="1:17" x14ac:dyDescent="0.3">
      <c r="A29" t="s">
        <v>53</v>
      </c>
      <c r="B29" s="2">
        <f>VLOOKUP(A29,'[1]13.10'!$A:$E,5,0)</f>
        <v>46303</v>
      </c>
      <c r="C29">
        <f t="shared" ca="1" si="0"/>
        <v>-1</v>
      </c>
      <c r="D29" t="s">
        <v>186</v>
      </c>
      <c r="E29" t="s">
        <v>186</v>
      </c>
      <c r="F29" t="s">
        <v>186</v>
      </c>
      <c r="G29" t="s">
        <v>186</v>
      </c>
      <c r="H29" t="s">
        <v>186</v>
      </c>
      <c r="I29" t="s">
        <v>186</v>
      </c>
      <c r="J29" t="s">
        <v>46</v>
      </c>
      <c r="K29" t="s">
        <v>11</v>
      </c>
      <c r="L29" t="s">
        <v>30</v>
      </c>
      <c r="M29" t="s">
        <v>35</v>
      </c>
      <c r="N29" t="s">
        <v>36</v>
      </c>
      <c r="O29" t="s">
        <v>221</v>
      </c>
      <c r="P29" s="2">
        <v>46190</v>
      </c>
      <c r="Q29" s="2">
        <v>46190</v>
      </c>
    </row>
    <row r="30" spans="1:17" x14ac:dyDescent="0.3">
      <c r="A30" t="s">
        <v>54</v>
      </c>
      <c r="B30" s="2">
        <f>VLOOKUP(A30,'[1]13.10'!$A:$E,5,0)</f>
        <v>46284</v>
      </c>
      <c r="C30">
        <f t="shared" ca="1" si="0"/>
        <v>-20</v>
      </c>
      <c r="D30" t="s">
        <v>186</v>
      </c>
      <c r="E30" t="s">
        <v>186</v>
      </c>
      <c r="F30" t="s">
        <v>186</v>
      </c>
      <c r="G30" t="s">
        <v>186</v>
      </c>
      <c r="H30" t="s">
        <v>186</v>
      </c>
      <c r="I30" t="s">
        <v>186</v>
      </c>
      <c r="J30" t="s">
        <v>46</v>
      </c>
      <c r="K30" t="s">
        <v>11</v>
      </c>
      <c r="L30" t="s">
        <v>30</v>
      </c>
      <c r="M30" t="s">
        <v>35</v>
      </c>
      <c r="N30" t="s">
        <v>36</v>
      </c>
      <c r="O30" t="s">
        <v>221</v>
      </c>
      <c r="P30" s="2">
        <v>46189</v>
      </c>
      <c r="Q30" s="2">
        <v>46185</v>
      </c>
    </row>
    <row r="31" spans="1:17" x14ac:dyDescent="0.3">
      <c r="A31" t="s">
        <v>55</v>
      </c>
      <c r="B31" s="2">
        <f>VLOOKUP(A31,'[1]13.10'!$A:$E,5,0)</f>
        <v>46302</v>
      </c>
      <c r="C31">
        <f t="shared" ca="1" si="0"/>
        <v>-2</v>
      </c>
      <c r="D31" t="s">
        <v>186</v>
      </c>
      <c r="E31" t="s">
        <v>186</v>
      </c>
      <c r="F31" t="s">
        <v>186</v>
      </c>
      <c r="G31" t="s">
        <v>186</v>
      </c>
      <c r="H31" t="s">
        <v>186</v>
      </c>
      <c r="I31" t="s">
        <v>186</v>
      </c>
      <c r="J31" t="s">
        <v>46</v>
      </c>
      <c r="K31" t="s">
        <v>11</v>
      </c>
      <c r="L31" t="s">
        <v>30</v>
      </c>
      <c r="M31" t="s">
        <v>35</v>
      </c>
      <c r="N31" t="s">
        <v>36</v>
      </c>
      <c r="O31" t="s">
        <v>221</v>
      </c>
      <c r="P31" s="2">
        <v>46189</v>
      </c>
      <c r="Q31" s="2">
        <v>46185</v>
      </c>
    </row>
    <row r="32" spans="1:17" x14ac:dyDescent="0.3">
      <c r="A32" t="s">
        <v>56</v>
      </c>
      <c r="B32" s="2">
        <f>VLOOKUP(A32,'[1]13.10'!$A:$E,5,0)</f>
        <v>46303</v>
      </c>
      <c r="C32">
        <f t="shared" ca="1" si="0"/>
        <v>-1</v>
      </c>
      <c r="D32" t="s">
        <v>186</v>
      </c>
      <c r="E32" t="s">
        <v>186</v>
      </c>
      <c r="F32" t="s">
        <v>186</v>
      </c>
      <c r="G32" t="s">
        <v>186</v>
      </c>
      <c r="H32" t="s">
        <v>186</v>
      </c>
      <c r="I32" t="s">
        <v>186</v>
      </c>
      <c r="J32" t="s">
        <v>46</v>
      </c>
      <c r="K32" t="s">
        <v>11</v>
      </c>
      <c r="L32" t="s">
        <v>30</v>
      </c>
      <c r="M32" t="s">
        <v>35</v>
      </c>
      <c r="N32" t="s">
        <v>36</v>
      </c>
      <c r="O32" t="s">
        <v>221</v>
      </c>
      <c r="P32" s="2">
        <v>46190</v>
      </c>
      <c r="Q32" s="2">
        <v>46190</v>
      </c>
    </row>
    <row r="33" spans="1:17" x14ac:dyDescent="0.3">
      <c r="A33" t="s">
        <v>57</v>
      </c>
      <c r="B33" s="2">
        <f>VLOOKUP(A33,'[1]13.10'!$A:$E,5,0)</f>
        <v>46302</v>
      </c>
      <c r="C33">
        <f t="shared" ca="1" si="0"/>
        <v>-2</v>
      </c>
      <c r="D33" t="s">
        <v>186</v>
      </c>
      <c r="E33" t="s">
        <v>186</v>
      </c>
      <c r="F33" t="s">
        <v>186</v>
      </c>
      <c r="G33" t="s">
        <v>186</v>
      </c>
      <c r="H33" t="s">
        <v>186</v>
      </c>
      <c r="I33" t="s">
        <v>186</v>
      </c>
      <c r="J33" t="s">
        <v>46</v>
      </c>
      <c r="K33" t="s">
        <v>11</v>
      </c>
      <c r="L33" t="s">
        <v>30</v>
      </c>
      <c r="M33" t="s">
        <v>35</v>
      </c>
      <c r="N33" t="s">
        <v>36</v>
      </c>
      <c r="O33" t="s">
        <v>221</v>
      </c>
      <c r="P33" s="2">
        <v>46190</v>
      </c>
      <c r="Q33" s="2">
        <v>46190</v>
      </c>
    </row>
    <row r="34" spans="1:17" x14ac:dyDescent="0.3">
      <c r="A34" t="s">
        <v>58</v>
      </c>
      <c r="B34" s="2">
        <f>VLOOKUP(A34,'[1]13.10'!$A:$E,5,0)</f>
        <v>46303</v>
      </c>
      <c r="C34">
        <f t="shared" ca="1" si="0"/>
        <v>-1</v>
      </c>
      <c r="D34" t="s">
        <v>186</v>
      </c>
      <c r="E34" t="s">
        <v>186</v>
      </c>
      <c r="F34" t="s">
        <v>186</v>
      </c>
      <c r="G34" t="s">
        <v>186</v>
      </c>
      <c r="H34" t="s">
        <v>186</v>
      </c>
      <c r="I34" t="s">
        <v>186</v>
      </c>
      <c r="J34" t="s">
        <v>46</v>
      </c>
      <c r="K34" t="s">
        <v>11</v>
      </c>
      <c r="L34" t="s">
        <v>30</v>
      </c>
      <c r="M34" t="s">
        <v>35</v>
      </c>
      <c r="N34" t="s">
        <v>36</v>
      </c>
      <c r="O34" t="s">
        <v>221</v>
      </c>
      <c r="P34" s="2">
        <v>46190</v>
      </c>
      <c r="Q34" s="2">
        <v>46190</v>
      </c>
    </row>
    <row r="35" spans="1:17" x14ac:dyDescent="0.3">
      <c r="A35" t="s">
        <v>59</v>
      </c>
      <c r="B35" s="2">
        <f>VLOOKUP(A35,'[1]13.10'!$A:$E,5,0)</f>
        <v>46303</v>
      </c>
      <c r="C35">
        <f t="shared" ca="1" si="0"/>
        <v>-1</v>
      </c>
      <c r="D35" t="s">
        <v>186</v>
      </c>
      <c r="E35" t="s">
        <v>186</v>
      </c>
      <c r="F35" t="s">
        <v>186</v>
      </c>
      <c r="G35" t="s">
        <v>186</v>
      </c>
      <c r="H35" t="s">
        <v>186</v>
      </c>
      <c r="I35" t="s">
        <v>186</v>
      </c>
      <c r="J35" t="s">
        <v>46</v>
      </c>
      <c r="K35" t="s">
        <v>11</v>
      </c>
      <c r="L35" t="s">
        <v>30</v>
      </c>
      <c r="M35" t="s">
        <v>35</v>
      </c>
      <c r="N35" t="s">
        <v>36</v>
      </c>
      <c r="O35" t="s">
        <v>221</v>
      </c>
      <c r="P35" s="2">
        <v>46190</v>
      </c>
      <c r="Q35" s="2">
        <v>46190</v>
      </c>
    </row>
    <row r="36" spans="1:17" x14ac:dyDescent="0.3">
      <c r="A36" t="s">
        <v>60</v>
      </c>
      <c r="B36" s="2">
        <f>VLOOKUP(A36,'[1]13.10'!$A:$E,5,0)</f>
        <v>46302</v>
      </c>
      <c r="C36">
        <f t="shared" ca="1" si="0"/>
        <v>-2</v>
      </c>
      <c r="D36" t="s">
        <v>186</v>
      </c>
      <c r="E36" t="s">
        <v>186</v>
      </c>
      <c r="F36" t="s">
        <v>186</v>
      </c>
      <c r="G36" t="s">
        <v>186</v>
      </c>
      <c r="H36" t="s">
        <v>186</v>
      </c>
      <c r="I36" t="s">
        <v>186</v>
      </c>
      <c r="J36" t="s">
        <v>46</v>
      </c>
      <c r="K36" t="s">
        <v>11</v>
      </c>
      <c r="L36" t="s">
        <v>30</v>
      </c>
      <c r="M36" t="s">
        <v>35</v>
      </c>
      <c r="N36" t="s">
        <v>36</v>
      </c>
      <c r="O36" t="s">
        <v>221</v>
      </c>
      <c r="P36" s="2">
        <v>46190</v>
      </c>
      <c r="Q36" s="2">
        <v>46190</v>
      </c>
    </row>
    <row r="37" spans="1:17" x14ac:dyDescent="0.3">
      <c r="A37" t="s">
        <v>61</v>
      </c>
      <c r="B37" s="2">
        <f>VLOOKUP(A37,'[1]13.10'!$A:$E,5,0)</f>
        <v>46266</v>
      </c>
      <c r="C37">
        <f t="shared" ca="1" si="0"/>
        <v>-38</v>
      </c>
      <c r="D37" t="s">
        <v>186</v>
      </c>
      <c r="E37" t="s">
        <v>186</v>
      </c>
      <c r="F37" t="s">
        <v>186</v>
      </c>
      <c r="G37" t="s">
        <v>186</v>
      </c>
      <c r="H37" t="s">
        <v>186</v>
      </c>
      <c r="I37" t="s">
        <v>186</v>
      </c>
      <c r="J37" t="s">
        <v>62</v>
      </c>
      <c r="K37" t="s">
        <v>11</v>
      </c>
      <c r="L37" t="s">
        <v>30</v>
      </c>
      <c r="M37" t="s">
        <v>35</v>
      </c>
      <c r="N37" t="s">
        <v>36</v>
      </c>
      <c r="O37" t="s">
        <v>221</v>
      </c>
      <c r="P37" s="2">
        <v>46209</v>
      </c>
      <c r="Q37" s="2">
        <v>46209</v>
      </c>
    </row>
    <row r="38" spans="1:17" x14ac:dyDescent="0.3">
      <c r="A38" t="s">
        <v>63</v>
      </c>
      <c r="B38" s="2">
        <f>VLOOKUP(A38,'[1]13.10'!$A:$E,5,0)</f>
        <v>46303</v>
      </c>
      <c r="C38">
        <f t="shared" ca="1" si="0"/>
        <v>-1</v>
      </c>
      <c r="D38" t="s">
        <v>186</v>
      </c>
      <c r="E38" t="s">
        <v>186</v>
      </c>
      <c r="F38" t="s">
        <v>186</v>
      </c>
      <c r="G38" t="s">
        <v>186</v>
      </c>
      <c r="H38" t="s">
        <v>186</v>
      </c>
      <c r="I38" t="s">
        <v>186</v>
      </c>
      <c r="J38" t="s">
        <v>62</v>
      </c>
      <c r="K38" t="s">
        <v>11</v>
      </c>
      <c r="L38" t="s">
        <v>30</v>
      </c>
      <c r="M38" t="s">
        <v>35</v>
      </c>
      <c r="N38" t="s">
        <v>36</v>
      </c>
      <c r="O38" t="s">
        <v>221</v>
      </c>
      <c r="P38" s="2">
        <v>46211</v>
      </c>
      <c r="Q38" s="2">
        <v>46211</v>
      </c>
    </row>
    <row r="39" spans="1:17" x14ac:dyDescent="0.3">
      <c r="A39" t="s">
        <v>64</v>
      </c>
      <c r="B39" s="2">
        <f>VLOOKUP(A39,'[1]13.10'!$A:$E,5,0)</f>
        <v>46303</v>
      </c>
      <c r="C39">
        <f t="shared" ca="1" si="0"/>
        <v>-1</v>
      </c>
      <c r="D39" t="s">
        <v>186</v>
      </c>
      <c r="E39" t="s">
        <v>186</v>
      </c>
      <c r="F39" t="s">
        <v>186</v>
      </c>
      <c r="G39" t="s">
        <v>186</v>
      </c>
      <c r="H39" t="s">
        <v>186</v>
      </c>
      <c r="I39" t="s">
        <v>186</v>
      </c>
      <c r="J39" t="s">
        <v>62</v>
      </c>
      <c r="K39" t="s">
        <v>11</v>
      </c>
      <c r="L39" t="s">
        <v>30</v>
      </c>
      <c r="M39" t="s">
        <v>35</v>
      </c>
      <c r="N39" t="s">
        <v>36</v>
      </c>
      <c r="O39" t="s">
        <v>221</v>
      </c>
      <c r="P39" s="2">
        <v>46209</v>
      </c>
      <c r="Q39" s="2">
        <v>46209</v>
      </c>
    </row>
    <row r="40" spans="1:17" x14ac:dyDescent="0.3">
      <c r="A40" t="s">
        <v>65</v>
      </c>
      <c r="B40" s="2">
        <f>VLOOKUP(A40,'[1]13.10'!$A:$E,5,0)</f>
        <v>46303</v>
      </c>
      <c r="C40">
        <f t="shared" ca="1" si="0"/>
        <v>-1</v>
      </c>
      <c r="D40" t="s">
        <v>186</v>
      </c>
      <c r="E40" t="s">
        <v>186</v>
      </c>
      <c r="F40" t="s">
        <v>186</v>
      </c>
      <c r="G40" t="s">
        <v>186</v>
      </c>
      <c r="H40" t="s">
        <v>186</v>
      </c>
      <c r="I40" t="s">
        <v>186</v>
      </c>
      <c r="J40" t="s">
        <v>62</v>
      </c>
      <c r="K40" t="s">
        <v>11</v>
      </c>
      <c r="L40" t="s">
        <v>30</v>
      </c>
      <c r="M40" t="s">
        <v>35</v>
      </c>
      <c r="N40" t="s">
        <v>36</v>
      </c>
      <c r="O40" t="s">
        <v>221</v>
      </c>
      <c r="P40" s="2">
        <v>46210</v>
      </c>
      <c r="Q40" s="2">
        <v>46209</v>
      </c>
    </row>
    <row r="41" spans="1:17" x14ac:dyDescent="0.3">
      <c r="A41" t="s">
        <v>66</v>
      </c>
      <c r="B41" s="2">
        <f>VLOOKUP(A41,'[1]13.10'!$A:$E,5,0)</f>
        <v>46300</v>
      </c>
      <c r="C41">
        <f t="shared" ca="1" si="0"/>
        <v>-4</v>
      </c>
      <c r="D41" t="s">
        <v>186</v>
      </c>
      <c r="E41" t="s">
        <v>186</v>
      </c>
      <c r="F41" t="s">
        <v>186</v>
      </c>
      <c r="G41" t="s">
        <v>186</v>
      </c>
      <c r="H41" t="s">
        <v>186</v>
      </c>
      <c r="I41" t="s">
        <v>186</v>
      </c>
      <c r="J41" t="s">
        <v>62</v>
      </c>
      <c r="K41" t="s">
        <v>11</v>
      </c>
      <c r="L41" t="s">
        <v>30</v>
      </c>
      <c r="M41" t="s">
        <v>35</v>
      </c>
      <c r="N41" t="s">
        <v>36</v>
      </c>
      <c r="O41" t="s">
        <v>221</v>
      </c>
      <c r="P41" s="2" t="s">
        <v>179</v>
      </c>
      <c r="Q41" s="2">
        <v>46205</v>
      </c>
    </row>
    <row r="42" spans="1:17" x14ac:dyDescent="0.3">
      <c r="A42" t="s">
        <v>67</v>
      </c>
      <c r="B42" s="2">
        <f>VLOOKUP(A42,'[1]13.10'!$A:$E,5,0)</f>
        <v>46303</v>
      </c>
      <c r="C42">
        <f t="shared" ca="1" si="0"/>
        <v>-1</v>
      </c>
      <c r="D42" t="s">
        <v>186</v>
      </c>
      <c r="E42" t="s">
        <v>186</v>
      </c>
      <c r="F42" t="s">
        <v>186</v>
      </c>
      <c r="G42" t="s">
        <v>186</v>
      </c>
      <c r="H42" t="s">
        <v>186</v>
      </c>
      <c r="I42" t="s">
        <v>186</v>
      </c>
      <c r="J42" t="s">
        <v>62</v>
      </c>
      <c r="K42" t="s">
        <v>11</v>
      </c>
      <c r="L42" t="s">
        <v>30</v>
      </c>
      <c r="M42" t="s">
        <v>35</v>
      </c>
      <c r="N42" t="s">
        <v>36</v>
      </c>
      <c r="O42" t="s">
        <v>221</v>
      </c>
      <c r="P42" s="2">
        <v>46209</v>
      </c>
      <c r="Q42" s="2">
        <v>46209</v>
      </c>
    </row>
    <row r="43" spans="1:17" x14ac:dyDescent="0.3">
      <c r="A43" t="s">
        <v>68</v>
      </c>
      <c r="B43" s="2">
        <f>VLOOKUP(A43,'[1]13.10'!$A:$E,5,0)</f>
        <v>46303</v>
      </c>
      <c r="C43">
        <f t="shared" ca="1" si="0"/>
        <v>-1</v>
      </c>
      <c r="D43" t="s">
        <v>186</v>
      </c>
      <c r="E43" t="s">
        <v>186</v>
      </c>
      <c r="F43" t="s">
        <v>186</v>
      </c>
      <c r="G43" t="s">
        <v>186</v>
      </c>
      <c r="H43" t="s">
        <v>186</v>
      </c>
      <c r="I43" t="s">
        <v>186</v>
      </c>
      <c r="J43" t="s">
        <v>62</v>
      </c>
      <c r="K43" t="s">
        <v>11</v>
      </c>
      <c r="L43" t="s">
        <v>30</v>
      </c>
      <c r="M43" t="s">
        <v>35</v>
      </c>
      <c r="N43" t="s">
        <v>36</v>
      </c>
      <c r="O43" t="s">
        <v>221</v>
      </c>
      <c r="P43" s="2">
        <v>46209</v>
      </c>
      <c r="Q43" s="2">
        <v>46209</v>
      </c>
    </row>
    <row r="44" spans="1:17" x14ac:dyDescent="0.3">
      <c r="A44" t="s">
        <v>69</v>
      </c>
      <c r="B44" s="2">
        <f>VLOOKUP(A44,'[1]13.10'!$A:$E,5,0)</f>
        <v>46303</v>
      </c>
      <c r="C44">
        <f t="shared" ca="1" si="0"/>
        <v>-1</v>
      </c>
      <c r="D44" t="s">
        <v>186</v>
      </c>
      <c r="E44" t="s">
        <v>186</v>
      </c>
      <c r="F44" t="s">
        <v>186</v>
      </c>
      <c r="G44" t="s">
        <v>186</v>
      </c>
      <c r="H44" t="s">
        <v>186</v>
      </c>
      <c r="I44" t="s">
        <v>186</v>
      </c>
      <c r="J44" t="s">
        <v>62</v>
      </c>
      <c r="K44" t="s">
        <v>11</v>
      </c>
      <c r="L44" t="s">
        <v>30</v>
      </c>
      <c r="M44" t="s">
        <v>35</v>
      </c>
      <c r="N44" t="s">
        <v>36</v>
      </c>
      <c r="O44" t="s">
        <v>221</v>
      </c>
      <c r="P44" s="2" t="s">
        <v>179</v>
      </c>
      <c r="Q44" s="2">
        <v>46205</v>
      </c>
    </row>
    <row r="45" spans="1:17" x14ac:dyDescent="0.3">
      <c r="A45" t="s">
        <v>70</v>
      </c>
      <c r="B45" s="2">
        <f>VLOOKUP(A45,'[1]13.10'!$A:$E,5,0)</f>
        <v>46303</v>
      </c>
      <c r="C45">
        <f t="shared" ca="1" si="0"/>
        <v>-1</v>
      </c>
      <c r="D45" t="s">
        <v>186</v>
      </c>
      <c r="E45" t="s">
        <v>186</v>
      </c>
      <c r="F45" t="s">
        <v>186</v>
      </c>
      <c r="G45" t="s">
        <v>186</v>
      </c>
      <c r="H45" t="s">
        <v>186</v>
      </c>
      <c r="I45" t="s">
        <v>186</v>
      </c>
      <c r="J45" t="s">
        <v>62</v>
      </c>
      <c r="K45" t="s">
        <v>11</v>
      </c>
      <c r="L45" t="s">
        <v>30</v>
      </c>
      <c r="M45" t="s">
        <v>35</v>
      </c>
      <c r="N45" t="s">
        <v>36</v>
      </c>
      <c r="O45" t="s">
        <v>221</v>
      </c>
      <c r="P45" s="2">
        <v>46211</v>
      </c>
      <c r="Q45" s="2">
        <v>46211</v>
      </c>
    </row>
    <row r="46" spans="1:17" x14ac:dyDescent="0.3">
      <c r="A46" t="s">
        <v>71</v>
      </c>
      <c r="B46" s="2">
        <f>VLOOKUP(A46,'[1]13.10'!$A:$E,5,0)</f>
        <v>46303</v>
      </c>
      <c r="C46">
        <f t="shared" ca="1" si="0"/>
        <v>-1</v>
      </c>
      <c r="D46" t="s">
        <v>186</v>
      </c>
      <c r="E46" t="s">
        <v>186</v>
      </c>
      <c r="F46" t="s">
        <v>186</v>
      </c>
      <c r="G46" t="s">
        <v>186</v>
      </c>
      <c r="H46" t="s">
        <v>186</v>
      </c>
      <c r="I46" t="s">
        <v>186</v>
      </c>
      <c r="J46" t="s">
        <v>62</v>
      </c>
      <c r="K46" t="s">
        <v>11</v>
      </c>
      <c r="L46" t="s">
        <v>30</v>
      </c>
      <c r="M46" t="s">
        <v>35</v>
      </c>
      <c r="N46" t="s">
        <v>36</v>
      </c>
      <c r="O46" t="s">
        <v>221</v>
      </c>
      <c r="P46" s="2">
        <v>46211</v>
      </c>
      <c r="Q46" s="2">
        <v>46211</v>
      </c>
    </row>
    <row r="47" spans="1:17" x14ac:dyDescent="0.3">
      <c r="A47" t="s">
        <v>72</v>
      </c>
      <c r="B47" s="2">
        <f>VLOOKUP(A47,'[1]13.10'!$A:$E,5,0)</f>
        <v>46303</v>
      </c>
      <c r="C47">
        <f t="shared" ca="1" si="0"/>
        <v>-1</v>
      </c>
      <c r="D47" t="s">
        <v>186</v>
      </c>
      <c r="E47" t="s">
        <v>186</v>
      </c>
      <c r="F47" t="s">
        <v>186</v>
      </c>
      <c r="G47" t="s">
        <v>186</v>
      </c>
      <c r="H47" t="s">
        <v>186</v>
      </c>
      <c r="I47" t="s">
        <v>186</v>
      </c>
      <c r="J47" t="s">
        <v>62</v>
      </c>
      <c r="K47" t="s">
        <v>11</v>
      </c>
      <c r="L47" t="s">
        <v>30</v>
      </c>
      <c r="M47" t="s">
        <v>35</v>
      </c>
      <c r="N47" t="s">
        <v>36</v>
      </c>
      <c r="O47" t="s">
        <v>221</v>
      </c>
      <c r="P47" s="2">
        <v>46211</v>
      </c>
      <c r="Q47" s="2">
        <v>46211</v>
      </c>
    </row>
    <row r="48" spans="1:17" x14ac:dyDescent="0.3">
      <c r="A48" t="s">
        <v>73</v>
      </c>
      <c r="B48" s="2">
        <f>VLOOKUP(A48,'[1]13.10'!$A:$E,5,0)</f>
        <v>46300</v>
      </c>
      <c r="C48">
        <f t="shared" ca="1" si="0"/>
        <v>-4</v>
      </c>
      <c r="D48" t="s">
        <v>186</v>
      </c>
      <c r="E48" t="s">
        <v>186</v>
      </c>
      <c r="F48" t="s">
        <v>186</v>
      </c>
      <c r="G48" t="s">
        <v>186</v>
      </c>
      <c r="H48" t="s">
        <v>186</v>
      </c>
      <c r="I48" t="s">
        <v>186</v>
      </c>
      <c r="J48" t="s">
        <v>62</v>
      </c>
      <c r="K48" t="s">
        <v>11</v>
      </c>
      <c r="L48" t="s">
        <v>30</v>
      </c>
      <c r="M48" t="s">
        <v>35</v>
      </c>
      <c r="N48" t="s">
        <v>36</v>
      </c>
      <c r="O48" t="s">
        <v>221</v>
      </c>
      <c r="P48" s="2" t="s">
        <v>179</v>
      </c>
      <c r="Q48" s="2">
        <v>46205</v>
      </c>
    </row>
    <row r="49" spans="1:17" x14ac:dyDescent="0.3">
      <c r="A49" t="s">
        <v>74</v>
      </c>
      <c r="B49" s="2">
        <f>VLOOKUP(A49,'[1]13.10'!$A:$E,5,0)</f>
        <v>46303</v>
      </c>
      <c r="C49">
        <f t="shared" ca="1" si="0"/>
        <v>-1</v>
      </c>
      <c r="D49" t="s">
        <v>186</v>
      </c>
      <c r="E49" t="s">
        <v>186</v>
      </c>
      <c r="F49" t="s">
        <v>186</v>
      </c>
      <c r="G49" t="s">
        <v>186</v>
      </c>
      <c r="H49" t="s">
        <v>186</v>
      </c>
      <c r="I49" t="s">
        <v>186</v>
      </c>
      <c r="J49" t="s">
        <v>62</v>
      </c>
      <c r="K49" t="s">
        <v>11</v>
      </c>
      <c r="L49" t="s">
        <v>30</v>
      </c>
      <c r="M49" t="s">
        <v>35</v>
      </c>
      <c r="N49" t="s">
        <v>36</v>
      </c>
      <c r="O49" t="s">
        <v>221</v>
      </c>
      <c r="P49" s="2">
        <v>46217</v>
      </c>
      <c r="Q49" s="2">
        <v>46218</v>
      </c>
    </row>
    <row r="50" spans="1:17" x14ac:dyDescent="0.3">
      <c r="A50" t="s">
        <v>75</v>
      </c>
      <c r="B50" s="2">
        <f>VLOOKUP(A50,'[1]13.10'!$A:$E,5,0)</f>
        <v>46303</v>
      </c>
      <c r="C50">
        <f t="shared" ca="1" si="0"/>
        <v>-1</v>
      </c>
      <c r="D50" t="s">
        <v>186</v>
      </c>
      <c r="E50" t="s">
        <v>186</v>
      </c>
      <c r="F50" t="s">
        <v>186</v>
      </c>
      <c r="G50" t="s">
        <v>186</v>
      </c>
      <c r="H50" t="s">
        <v>186</v>
      </c>
      <c r="I50" t="s">
        <v>186</v>
      </c>
      <c r="J50" t="s">
        <v>10</v>
      </c>
      <c r="K50" t="s">
        <v>11</v>
      </c>
      <c r="L50" t="s">
        <v>30</v>
      </c>
      <c r="M50" t="s">
        <v>35</v>
      </c>
      <c r="N50" t="s">
        <v>36</v>
      </c>
      <c r="O50" t="s">
        <v>221</v>
      </c>
      <c r="P50" s="2">
        <v>46190</v>
      </c>
      <c r="Q50" s="2">
        <v>46190</v>
      </c>
    </row>
    <row r="51" spans="1:17" x14ac:dyDescent="0.3">
      <c r="A51" t="s">
        <v>76</v>
      </c>
      <c r="B51" s="2">
        <f>VLOOKUP(A51,'[1]13.10'!$A:$E,5,0)</f>
        <v>46303</v>
      </c>
      <c r="C51">
        <f t="shared" ca="1" si="0"/>
        <v>-1</v>
      </c>
      <c r="D51" t="s">
        <v>186</v>
      </c>
      <c r="E51" t="s">
        <v>186</v>
      </c>
      <c r="F51" t="s">
        <v>186</v>
      </c>
      <c r="G51" t="s">
        <v>186</v>
      </c>
      <c r="H51" t="s">
        <v>186</v>
      </c>
      <c r="I51" t="s">
        <v>186</v>
      </c>
      <c r="J51" t="s">
        <v>10</v>
      </c>
      <c r="K51" t="s">
        <v>11</v>
      </c>
      <c r="L51" t="s">
        <v>30</v>
      </c>
      <c r="M51" t="s">
        <v>35</v>
      </c>
      <c r="N51" t="s">
        <v>36</v>
      </c>
      <c r="O51" t="s">
        <v>221</v>
      </c>
      <c r="P51" s="2">
        <v>46190</v>
      </c>
      <c r="Q51" s="2">
        <v>46190</v>
      </c>
    </row>
    <row r="52" spans="1:17" x14ac:dyDescent="0.3">
      <c r="A52" t="s">
        <v>77</v>
      </c>
      <c r="B52" s="2">
        <f>VLOOKUP(A52,'[1]13.10'!$A:$E,5,0)</f>
        <v>46303</v>
      </c>
      <c r="C52">
        <f t="shared" ca="1" si="0"/>
        <v>-1</v>
      </c>
      <c r="D52" t="s">
        <v>186</v>
      </c>
      <c r="E52" t="s">
        <v>186</v>
      </c>
      <c r="F52" t="s">
        <v>186</v>
      </c>
      <c r="G52" t="s">
        <v>186</v>
      </c>
      <c r="H52" t="s">
        <v>186</v>
      </c>
      <c r="I52" t="s">
        <v>186</v>
      </c>
      <c r="J52" t="s">
        <v>10</v>
      </c>
      <c r="K52" t="s">
        <v>11</v>
      </c>
      <c r="L52" t="s">
        <v>30</v>
      </c>
      <c r="M52" t="s">
        <v>35</v>
      </c>
      <c r="N52" t="s">
        <v>36</v>
      </c>
      <c r="O52" t="s">
        <v>221</v>
      </c>
      <c r="P52" s="2">
        <v>46190</v>
      </c>
      <c r="Q52" s="2">
        <v>46190</v>
      </c>
    </row>
    <row r="53" spans="1:17" x14ac:dyDescent="0.3">
      <c r="A53" t="s">
        <v>78</v>
      </c>
      <c r="B53" s="2">
        <f>VLOOKUP(A53,'[1]13.10'!$A:$E,5,0)</f>
        <v>46303</v>
      </c>
      <c r="C53">
        <f t="shared" ca="1" si="0"/>
        <v>-1</v>
      </c>
      <c r="D53" t="s">
        <v>186</v>
      </c>
      <c r="E53" t="s">
        <v>186</v>
      </c>
      <c r="F53" t="s">
        <v>186</v>
      </c>
      <c r="G53" t="s">
        <v>186</v>
      </c>
      <c r="H53" t="s">
        <v>186</v>
      </c>
      <c r="I53" t="s">
        <v>186</v>
      </c>
      <c r="J53" t="s">
        <v>10</v>
      </c>
      <c r="K53" t="s">
        <v>11</v>
      </c>
      <c r="L53" t="s">
        <v>30</v>
      </c>
      <c r="M53" t="s">
        <v>35</v>
      </c>
      <c r="N53" t="s">
        <v>36</v>
      </c>
      <c r="O53" t="s">
        <v>221</v>
      </c>
      <c r="P53" s="2">
        <v>46191</v>
      </c>
      <c r="Q53" s="2">
        <v>46191</v>
      </c>
    </row>
    <row r="54" spans="1:17" x14ac:dyDescent="0.3">
      <c r="A54" t="s">
        <v>79</v>
      </c>
      <c r="B54" s="2">
        <f>VLOOKUP(A54,'[1]13.10'!$A:$E,5,0)</f>
        <v>46303</v>
      </c>
      <c r="C54">
        <f t="shared" ca="1" si="0"/>
        <v>-1</v>
      </c>
      <c r="D54" t="s">
        <v>186</v>
      </c>
      <c r="E54" t="s">
        <v>186</v>
      </c>
      <c r="F54" t="s">
        <v>186</v>
      </c>
      <c r="G54" t="s">
        <v>186</v>
      </c>
      <c r="H54" t="s">
        <v>186</v>
      </c>
      <c r="I54" t="s">
        <v>186</v>
      </c>
      <c r="J54" t="s">
        <v>10</v>
      </c>
      <c r="K54" t="s">
        <v>11</v>
      </c>
      <c r="L54" t="s">
        <v>30</v>
      </c>
      <c r="M54" t="s">
        <v>35</v>
      </c>
      <c r="N54" t="s">
        <v>36</v>
      </c>
      <c r="O54" t="s">
        <v>221</v>
      </c>
      <c r="P54" s="2">
        <v>46191</v>
      </c>
      <c r="Q54" s="2">
        <v>46191</v>
      </c>
    </row>
    <row r="55" spans="1:17" x14ac:dyDescent="0.3">
      <c r="A55" t="s">
        <v>80</v>
      </c>
      <c r="B55" s="2">
        <f>VLOOKUP(A55,'[1]13.10'!$A:$E,5,0)</f>
        <v>46303</v>
      </c>
      <c r="C55">
        <f t="shared" ca="1" si="0"/>
        <v>-1</v>
      </c>
      <c r="D55" t="s">
        <v>186</v>
      </c>
      <c r="E55" t="s">
        <v>186</v>
      </c>
      <c r="F55" t="s">
        <v>186</v>
      </c>
      <c r="G55" t="s">
        <v>186</v>
      </c>
      <c r="H55" t="s">
        <v>186</v>
      </c>
      <c r="I55" t="s">
        <v>186</v>
      </c>
      <c r="J55" t="s">
        <v>10</v>
      </c>
      <c r="K55" t="s">
        <v>11</v>
      </c>
      <c r="L55" t="s">
        <v>30</v>
      </c>
      <c r="M55" t="s">
        <v>35</v>
      </c>
      <c r="N55" t="s">
        <v>36</v>
      </c>
      <c r="O55" t="s">
        <v>221</v>
      </c>
      <c r="P55" s="2">
        <v>46190</v>
      </c>
      <c r="Q55" s="2">
        <v>46190</v>
      </c>
    </row>
    <row r="56" spans="1:17" x14ac:dyDescent="0.3">
      <c r="A56" t="s">
        <v>81</v>
      </c>
      <c r="B56" s="2">
        <f>VLOOKUP(A56,'[1]13.10'!$A:$E,5,0)</f>
        <v>46296</v>
      </c>
      <c r="C56">
        <f t="shared" ca="1" si="0"/>
        <v>-8</v>
      </c>
      <c r="D56" t="s">
        <v>186</v>
      </c>
      <c r="E56" t="s">
        <v>186</v>
      </c>
      <c r="F56" t="s">
        <v>186</v>
      </c>
      <c r="G56" t="s">
        <v>186</v>
      </c>
      <c r="H56" t="s">
        <v>186</v>
      </c>
      <c r="I56" t="s">
        <v>186</v>
      </c>
      <c r="J56" t="s">
        <v>10</v>
      </c>
      <c r="K56" t="s">
        <v>11</v>
      </c>
      <c r="L56" t="s">
        <v>30</v>
      </c>
      <c r="M56" t="s">
        <v>35</v>
      </c>
      <c r="N56" t="s">
        <v>36</v>
      </c>
      <c r="O56" t="s">
        <v>221</v>
      </c>
      <c r="P56" s="2">
        <v>46191</v>
      </c>
      <c r="Q56" s="2">
        <v>46191</v>
      </c>
    </row>
    <row r="57" spans="1:17" x14ac:dyDescent="0.3">
      <c r="A57" t="s">
        <v>82</v>
      </c>
      <c r="B57" s="2">
        <f>VLOOKUP(A57,'[1]13.10'!$A:$E,5,0)</f>
        <v>46302</v>
      </c>
      <c r="C57">
        <f t="shared" ca="1" si="0"/>
        <v>-2</v>
      </c>
      <c r="D57" t="s">
        <v>186</v>
      </c>
      <c r="E57" t="s">
        <v>186</v>
      </c>
      <c r="F57" t="s">
        <v>186</v>
      </c>
      <c r="G57" t="s">
        <v>186</v>
      </c>
      <c r="H57" t="s">
        <v>186</v>
      </c>
      <c r="I57" t="s">
        <v>186</v>
      </c>
      <c r="J57" t="s">
        <v>10</v>
      </c>
      <c r="K57" t="s">
        <v>11</v>
      </c>
      <c r="L57" t="s">
        <v>30</v>
      </c>
      <c r="M57" t="s">
        <v>35</v>
      </c>
      <c r="N57" t="s">
        <v>36</v>
      </c>
      <c r="O57" t="s">
        <v>221</v>
      </c>
      <c r="P57" s="2">
        <v>46191</v>
      </c>
      <c r="Q57" s="2">
        <v>46191</v>
      </c>
    </row>
    <row r="58" spans="1:17" x14ac:dyDescent="0.3">
      <c r="A58" t="s">
        <v>83</v>
      </c>
      <c r="B58" s="2">
        <f>VLOOKUP(A58,'[1]13.10'!$A:$E,5,0)</f>
        <v>46303</v>
      </c>
      <c r="C58">
        <f t="shared" ca="1" si="0"/>
        <v>-1</v>
      </c>
      <c r="D58" t="s">
        <v>186</v>
      </c>
      <c r="E58" t="s">
        <v>186</v>
      </c>
      <c r="F58" t="s">
        <v>186</v>
      </c>
      <c r="G58" t="s">
        <v>186</v>
      </c>
      <c r="H58" t="s">
        <v>186</v>
      </c>
      <c r="I58" t="s">
        <v>186</v>
      </c>
      <c r="J58" t="s">
        <v>10</v>
      </c>
      <c r="K58" t="s">
        <v>11</v>
      </c>
      <c r="L58" t="s">
        <v>30</v>
      </c>
      <c r="M58" t="s">
        <v>35</v>
      </c>
      <c r="N58" t="s">
        <v>36</v>
      </c>
      <c r="O58" t="s">
        <v>221</v>
      </c>
      <c r="P58" s="2">
        <v>46193</v>
      </c>
      <c r="Q58" s="2">
        <v>46193</v>
      </c>
    </row>
    <row r="59" spans="1:17" x14ac:dyDescent="0.3">
      <c r="A59" t="s">
        <v>84</v>
      </c>
      <c r="B59" s="2">
        <f>VLOOKUP(A59,'[1]13.10'!$A:$E,5,0)</f>
        <v>46303</v>
      </c>
      <c r="C59">
        <f t="shared" ca="1" si="0"/>
        <v>-1</v>
      </c>
      <c r="D59" t="s">
        <v>186</v>
      </c>
      <c r="E59" t="s">
        <v>186</v>
      </c>
      <c r="F59" t="s">
        <v>186</v>
      </c>
      <c r="G59" t="s">
        <v>186</v>
      </c>
      <c r="H59" t="s">
        <v>186</v>
      </c>
      <c r="I59" t="s">
        <v>186</v>
      </c>
      <c r="J59" t="s">
        <v>10</v>
      </c>
      <c r="K59" t="s">
        <v>11</v>
      </c>
      <c r="L59" t="s">
        <v>30</v>
      </c>
      <c r="M59" t="s">
        <v>35</v>
      </c>
      <c r="N59" t="s">
        <v>36</v>
      </c>
      <c r="O59" t="s">
        <v>221</v>
      </c>
      <c r="P59" s="2">
        <v>46190</v>
      </c>
      <c r="Q59" s="2">
        <v>46190</v>
      </c>
    </row>
    <row r="60" spans="1:17" x14ac:dyDescent="0.3">
      <c r="A60" t="s">
        <v>85</v>
      </c>
      <c r="B60" s="2">
        <f>VLOOKUP(A60,'[1]13.10'!$A:$E,5,0)</f>
        <v>46303</v>
      </c>
      <c r="C60">
        <f t="shared" ca="1" si="0"/>
        <v>-1</v>
      </c>
      <c r="D60" t="s">
        <v>186</v>
      </c>
      <c r="E60" t="s">
        <v>186</v>
      </c>
      <c r="F60" t="s">
        <v>186</v>
      </c>
      <c r="G60" t="s">
        <v>186</v>
      </c>
      <c r="H60" t="s">
        <v>186</v>
      </c>
      <c r="I60" t="s">
        <v>186</v>
      </c>
      <c r="J60" t="s">
        <v>10</v>
      </c>
      <c r="K60" t="s">
        <v>11</v>
      </c>
      <c r="L60" t="s">
        <v>30</v>
      </c>
      <c r="M60" t="s">
        <v>35</v>
      </c>
      <c r="N60" t="s">
        <v>36</v>
      </c>
      <c r="O60" t="s">
        <v>221</v>
      </c>
      <c r="P60" s="2">
        <v>46191</v>
      </c>
      <c r="Q60" s="2">
        <v>46191</v>
      </c>
    </row>
    <row r="61" spans="1:17" x14ac:dyDescent="0.3">
      <c r="A61" t="s">
        <v>86</v>
      </c>
      <c r="B61" s="2">
        <f>VLOOKUP(A61,'[1]13.10'!$A:$E,5,0)</f>
        <v>46303</v>
      </c>
      <c r="C61">
        <f t="shared" ca="1" si="0"/>
        <v>-1</v>
      </c>
      <c r="D61" t="s">
        <v>186</v>
      </c>
      <c r="E61" t="s">
        <v>186</v>
      </c>
      <c r="F61" t="s">
        <v>186</v>
      </c>
      <c r="G61" t="s">
        <v>186</v>
      </c>
      <c r="H61" t="s">
        <v>186</v>
      </c>
      <c r="I61" t="s">
        <v>186</v>
      </c>
      <c r="J61" t="s">
        <v>10</v>
      </c>
      <c r="K61" t="s">
        <v>11</v>
      </c>
      <c r="L61" t="s">
        <v>30</v>
      </c>
      <c r="M61" t="s">
        <v>35</v>
      </c>
      <c r="N61" t="s">
        <v>36</v>
      </c>
      <c r="O61" t="s">
        <v>221</v>
      </c>
      <c r="P61" s="2">
        <v>46190</v>
      </c>
      <c r="Q61" s="2">
        <v>46190</v>
      </c>
    </row>
    <row r="62" spans="1:17" x14ac:dyDescent="0.3">
      <c r="A62" t="s">
        <v>87</v>
      </c>
      <c r="B62" s="2">
        <f>VLOOKUP(A62,'[1]13.10'!$A:$E,5,0)</f>
        <v>46303</v>
      </c>
      <c r="C62">
        <f t="shared" ca="1" si="0"/>
        <v>-1</v>
      </c>
      <c r="D62" t="s">
        <v>186</v>
      </c>
      <c r="E62" t="s">
        <v>186</v>
      </c>
      <c r="F62" t="s">
        <v>186</v>
      </c>
      <c r="G62" t="s">
        <v>186</v>
      </c>
      <c r="H62" t="s">
        <v>186</v>
      </c>
      <c r="I62" t="s">
        <v>186</v>
      </c>
      <c r="J62" t="s">
        <v>10</v>
      </c>
      <c r="K62" t="s">
        <v>11</v>
      </c>
      <c r="L62" t="s">
        <v>30</v>
      </c>
      <c r="M62" t="s">
        <v>35</v>
      </c>
      <c r="N62" t="s">
        <v>36</v>
      </c>
      <c r="O62" t="s">
        <v>221</v>
      </c>
      <c r="P62" s="2">
        <v>46190</v>
      </c>
      <c r="Q62" s="2">
        <v>46190</v>
      </c>
    </row>
    <row r="63" spans="1:17" x14ac:dyDescent="0.3">
      <c r="A63" t="s">
        <v>88</v>
      </c>
      <c r="B63" s="2">
        <f>VLOOKUP(A63,'[1]13.10'!$A:$E,5,0)</f>
        <v>46303</v>
      </c>
      <c r="C63">
        <f t="shared" ca="1" si="0"/>
        <v>-1</v>
      </c>
      <c r="D63" t="s">
        <v>186</v>
      </c>
      <c r="E63" t="s">
        <v>186</v>
      </c>
      <c r="F63" t="s">
        <v>186</v>
      </c>
      <c r="G63" t="s">
        <v>186</v>
      </c>
      <c r="H63" t="s">
        <v>186</v>
      </c>
      <c r="I63" t="s">
        <v>186</v>
      </c>
      <c r="J63" t="s">
        <v>46</v>
      </c>
      <c r="K63" t="s">
        <v>11</v>
      </c>
      <c r="L63" t="s">
        <v>89</v>
      </c>
      <c r="M63" t="s">
        <v>90</v>
      </c>
      <c r="N63" t="s">
        <v>91</v>
      </c>
      <c r="O63" t="s">
        <v>222</v>
      </c>
      <c r="P63" s="2">
        <v>46171</v>
      </c>
      <c r="Q63" s="2">
        <v>46171</v>
      </c>
    </row>
    <row r="64" spans="1:17" x14ac:dyDescent="0.3">
      <c r="A64" t="s">
        <v>92</v>
      </c>
      <c r="B64" s="2">
        <f>VLOOKUP(A64,'[1]13.10'!$A:$E,5,0)</f>
        <v>46303</v>
      </c>
      <c r="C64">
        <f t="shared" ca="1" si="0"/>
        <v>-1</v>
      </c>
      <c r="D64" t="s">
        <v>186</v>
      </c>
      <c r="E64" t="s">
        <v>186</v>
      </c>
      <c r="F64" t="s">
        <v>186</v>
      </c>
      <c r="G64" t="s">
        <v>186</v>
      </c>
      <c r="H64" t="s">
        <v>186</v>
      </c>
      <c r="I64" t="s">
        <v>186</v>
      </c>
      <c r="J64" t="s">
        <v>46</v>
      </c>
      <c r="K64" t="s">
        <v>11</v>
      </c>
      <c r="L64" t="s">
        <v>89</v>
      </c>
      <c r="M64" t="s">
        <v>90</v>
      </c>
      <c r="N64" t="s">
        <v>93</v>
      </c>
      <c r="O64" t="s">
        <v>222</v>
      </c>
      <c r="P64" s="2">
        <v>46171</v>
      </c>
      <c r="Q64" s="2">
        <v>46171</v>
      </c>
    </row>
    <row r="65" spans="1:17" x14ac:dyDescent="0.3">
      <c r="A65" t="s">
        <v>94</v>
      </c>
      <c r="B65" s="2">
        <f>VLOOKUP(A65,'[1]13.10'!$A:$E,5,0)</f>
        <v>46302</v>
      </c>
      <c r="C65">
        <f t="shared" ca="1" si="0"/>
        <v>-2</v>
      </c>
      <c r="D65" t="s">
        <v>186</v>
      </c>
      <c r="E65" t="s">
        <v>186</v>
      </c>
      <c r="F65" t="s">
        <v>186</v>
      </c>
      <c r="G65" t="s">
        <v>186</v>
      </c>
      <c r="H65" t="s">
        <v>186</v>
      </c>
      <c r="I65" t="s">
        <v>186</v>
      </c>
      <c r="J65" t="s">
        <v>46</v>
      </c>
      <c r="K65" t="s">
        <v>11</v>
      </c>
      <c r="L65" t="s">
        <v>89</v>
      </c>
      <c r="M65" t="s">
        <v>90</v>
      </c>
      <c r="N65" t="s">
        <v>91</v>
      </c>
      <c r="O65" t="s">
        <v>222</v>
      </c>
      <c r="P65" s="2">
        <v>46171</v>
      </c>
      <c r="Q65" s="2">
        <v>46171</v>
      </c>
    </row>
    <row r="66" spans="1:17" x14ac:dyDescent="0.3">
      <c r="A66" t="s">
        <v>95</v>
      </c>
      <c r="B66" s="2">
        <f>VLOOKUP(A66,'[1]13.10'!$A:$E,5,0)</f>
        <v>46290</v>
      </c>
      <c r="C66">
        <f t="shared" ca="1" si="0"/>
        <v>-14</v>
      </c>
      <c r="D66" t="s">
        <v>186</v>
      </c>
      <c r="E66" t="s">
        <v>186</v>
      </c>
      <c r="F66" t="s">
        <v>186</v>
      </c>
      <c r="G66" t="s">
        <v>186</v>
      </c>
      <c r="H66" t="s">
        <v>186</v>
      </c>
      <c r="I66" t="s">
        <v>186</v>
      </c>
      <c r="J66" t="s">
        <v>46</v>
      </c>
      <c r="K66" t="s">
        <v>11</v>
      </c>
      <c r="L66" t="s">
        <v>89</v>
      </c>
      <c r="M66" t="s">
        <v>90</v>
      </c>
      <c r="N66" t="s">
        <v>91</v>
      </c>
      <c r="O66" t="s">
        <v>222</v>
      </c>
      <c r="P66" s="2">
        <v>46170</v>
      </c>
      <c r="Q66" s="2">
        <v>46170</v>
      </c>
    </row>
    <row r="67" spans="1:17" x14ac:dyDescent="0.3">
      <c r="A67" t="s">
        <v>96</v>
      </c>
      <c r="B67" s="2">
        <f>VLOOKUP(A67,'[1]13.10'!$A:$E,5,0)</f>
        <v>46302</v>
      </c>
      <c r="C67">
        <f t="shared" ref="C67:C130" ca="1" si="1">B67-$R$1</f>
        <v>-2</v>
      </c>
      <c r="D67" t="s">
        <v>186</v>
      </c>
      <c r="E67" t="s">
        <v>186</v>
      </c>
      <c r="F67" t="s">
        <v>186</v>
      </c>
      <c r="G67" t="s">
        <v>186</v>
      </c>
      <c r="H67" t="s">
        <v>186</v>
      </c>
      <c r="I67" t="s">
        <v>186</v>
      </c>
      <c r="J67" t="s">
        <v>46</v>
      </c>
      <c r="K67" t="s">
        <v>11</v>
      </c>
      <c r="L67" t="s">
        <v>89</v>
      </c>
      <c r="M67" t="s">
        <v>90</v>
      </c>
      <c r="N67" t="s">
        <v>91</v>
      </c>
      <c r="O67" t="s">
        <v>222</v>
      </c>
      <c r="P67" s="2">
        <v>46171</v>
      </c>
      <c r="Q67" s="2">
        <v>46171</v>
      </c>
    </row>
    <row r="68" spans="1:17" x14ac:dyDescent="0.3">
      <c r="A68" t="s">
        <v>97</v>
      </c>
      <c r="B68" s="2">
        <f>VLOOKUP(A68,'[1]13.10'!$A:$E,5,0)</f>
        <v>46255</v>
      </c>
      <c r="C68">
        <f t="shared" ca="1" si="1"/>
        <v>-49</v>
      </c>
      <c r="D68" t="s">
        <v>186</v>
      </c>
      <c r="E68" t="s">
        <v>186</v>
      </c>
      <c r="F68" t="s">
        <v>186</v>
      </c>
      <c r="G68" t="s">
        <v>186</v>
      </c>
      <c r="H68" t="s">
        <v>186</v>
      </c>
      <c r="I68" t="s">
        <v>186</v>
      </c>
      <c r="J68" t="s">
        <v>23</v>
      </c>
      <c r="K68" t="s">
        <v>11</v>
      </c>
      <c r="L68" t="s">
        <v>89</v>
      </c>
      <c r="M68" t="s">
        <v>90</v>
      </c>
      <c r="N68" t="s">
        <v>93</v>
      </c>
      <c r="O68" t="s">
        <v>222</v>
      </c>
      <c r="P68" s="2">
        <v>46154</v>
      </c>
      <c r="Q68" s="2">
        <v>46154</v>
      </c>
    </row>
    <row r="69" spans="1:17" x14ac:dyDescent="0.3">
      <c r="A69" t="s">
        <v>98</v>
      </c>
      <c r="B69" s="2">
        <f>VLOOKUP(A69,'[1]13.10'!$A:$E,5,0)</f>
        <v>46302</v>
      </c>
      <c r="C69">
        <f t="shared" ca="1" si="1"/>
        <v>-2</v>
      </c>
      <c r="D69" t="s">
        <v>186</v>
      </c>
      <c r="E69" t="s">
        <v>186</v>
      </c>
      <c r="F69" t="s">
        <v>186</v>
      </c>
      <c r="G69" t="s">
        <v>186</v>
      </c>
      <c r="H69" t="s">
        <v>186</v>
      </c>
      <c r="I69" t="s">
        <v>186</v>
      </c>
      <c r="J69" t="s">
        <v>23</v>
      </c>
      <c r="K69" t="s">
        <v>11</v>
      </c>
      <c r="L69" t="s">
        <v>89</v>
      </c>
      <c r="M69" t="s">
        <v>90</v>
      </c>
      <c r="N69" t="s">
        <v>93</v>
      </c>
      <c r="O69" t="s">
        <v>222</v>
      </c>
      <c r="P69" s="2">
        <v>46154</v>
      </c>
      <c r="Q69" s="2">
        <v>46154</v>
      </c>
    </row>
    <row r="70" spans="1:17" x14ac:dyDescent="0.3">
      <c r="A70" t="s">
        <v>99</v>
      </c>
      <c r="B70" s="2">
        <f>VLOOKUP(A70,'[1]13.10'!$A:$E,5,0)</f>
        <v>46303</v>
      </c>
      <c r="C70">
        <f t="shared" ca="1" si="1"/>
        <v>-1</v>
      </c>
      <c r="D70" t="s">
        <v>186</v>
      </c>
      <c r="E70" t="s">
        <v>186</v>
      </c>
      <c r="F70" t="s">
        <v>186</v>
      </c>
      <c r="G70" t="s">
        <v>186</v>
      </c>
      <c r="H70" t="s">
        <v>186</v>
      </c>
      <c r="I70" t="s">
        <v>186</v>
      </c>
      <c r="J70" t="s">
        <v>23</v>
      </c>
      <c r="K70" t="s">
        <v>11</v>
      </c>
      <c r="L70" t="s">
        <v>89</v>
      </c>
      <c r="M70" t="s">
        <v>90</v>
      </c>
      <c r="N70" t="s">
        <v>93</v>
      </c>
      <c r="O70" t="s">
        <v>222</v>
      </c>
      <c r="P70" s="2">
        <v>46154</v>
      </c>
      <c r="Q70" s="2">
        <v>46154</v>
      </c>
    </row>
    <row r="71" spans="1:17" x14ac:dyDescent="0.3">
      <c r="A71" t="s">
        <v>100</v>
      </c>
      <c r="B71" s="2">
        <f>VLOOKUP(A71,'[1]13.10'!$A:$E,5,0)</f>
        <v>46303</v>
      </c>
      <c r="C71">
        <f t="shared" ca="1" si="1"/>
        <v>-1</v>
      </c>
      <c r="D71" t="s">
        <v>186</v>
      </c>
      <c r="E71" t="s">
        <v>186</v>
      </c>
      <c r="F71" t="s">
        <v>186</v>
      </c>
      <c r="G71" t="s">
        <v>186</v>
      </c>
      <c r="H71" t="s">
        <v>186</v>
      </c>
      <c r="I71" t="s">
        <v>186</v>
      </c>
      <c r="J71" t="s">
        <v>23</v>
      </c>
      <c r="K71" t="s">
        <v>11</v>
      </c>
      <c r="L71" t="s">
        <v>89</v>
      </c>
      <c r="M71" t="s">
        <v>90</v>
      </c>
      <c r="N71" t="s">
        <v>93</v>
      </c>
      <c r="O71" t="s">
        <v>222</v>
      </c>
      <c r="P71" s="2">
        <v>46154</v>
      </c>
      <c r="Q71" s="2">
        <v>46154</v>
      </c>
    </row>
    <row r="72" spans="1:17" x14ac:dyDescent="0.3">
      <c r="A72" t="s">
        <v>101</v>
      </c>
      <c r="B72" s="2">
        <f>VLOOKUP(A72,'[1]13.10'!$A:$E,5,0)</f>
        <v>46272</v>
      </c>
      <c r="C72">
        <f t="shared" ca="1" si="1"/>
        <v>-32</v>
      </c>
      <c r="D72" t="s">
        <v>186</v>
      </c>
      <c r="E72" t="s">
        <v>186</v>
      </c>
      <c r="F72" t="s">
        <v>186</v>
      </c>
      <c r="G72" t="s">
        <v>186</v>
      </c>
      <c r="H72" t="s">
        <v>186</v>
      </c>
      <c r="I72" t="s">
        <v>186</v>
      </c>
      <c r="J72" t="s">
        <v>23</v>
      </c>
      <c r="K72" t="s">
        <v>11</v>
      </c>
      <c r="L72" t="s">
        <v>89</v>
      </c>
      <c r="M72" t="s">
        <v>90</v>
      </c>
      <c r="N72" t="s">
        <v>93</v>
      </c>
      <c r="O72" t="s">
        <v>222</v>
      </c>
      <c r="P72" s="2">
        <v>46154</v>
      </c>
      <c r="Q72" s="2">
        <v>46154</v>
      </c>
    </row>
    <row r="73" spans="1:17" x14ac:dyDescent="0.3">
      <c r="A73" t="s">
        <v>102</v>
      </c>
      <c r="B73" s="2">
        <f>VLOOKUP(A73,'[1]13.10'!$A:$E,5,0)</f>
        <v>46303</v>
      </c>
      <c r="C73">
        <f t="shared" ca="1" si="1"/>
        <v>-1</v>
      </c>
      <c r="D73" t="s">
        <v>186</v>
      </c>
      <c r="E73" t="s">
        <v>186</v>
      </c>
      <c r="F73" t="s">
        <v>186</v>
      </c>
      <c r="G73" t="s">
        <v>186</v>
      </c>
      <c r="H73" t="s">
        <v>186</v>
      </c>
      <c r="I73" t="s">
        <v>186</v>
      </c>
      <c r="J73" t="s">
        <v>103</v>
      </c>
      <c r="K73" t="s">
        <v>11</v>
      </c>
      <c r="L73" t="s">
        <v>89</v>
      </c>
      <c r="M73" t="s">
        <v>90</v>
      </c>
      <c r="N73" t="s">
        <v>91</v>
      </c>
      <c r="O73" t="s">
        <v>222</v>
      </c>
      <c r="P73" s="2">
        <v>46253</v>
      </c>
      <c r="Q73" s="2">
        <v>46253</v>
      </c>
    </row>
    <row r="74" spans="1:17" x14ac:dyDescent="0.3">
      <c r="A74" t="s">
        <v>104</v>
      </c>
      <c r="B74" s="2">
        <f>VLOOKUP(A74,'[1]13.10'!$A:$E,5,0)</f>
        <v>46303</v>
      </c>
      <c r="C74">
        <f t="shared" ca="1" si="1"/>
        <v>-1</v>
      </c>
      <c r="D74" t="s">
        <v>186</v>
      </c>
      <c r="E74" t="s">
        <v>186</v>
      </c>
      <c r="F74" t="s">
        <v>186</v>
      </c>
      <c r="G74" t="s">
        <v>186</v>
      </c>
      <c r="H74" t="s">
        <v>186</v>
      </c>
      <c r="I74" t="s">
        <v>186</v>
      </c>
      <c r="J74" t="s">
        <v>103</v>
      </c>
      <c r="K74" t="s">
        <v>11</v>
      </c>
      <c r="L74" t="s">
        <v>89</v>
      </c>
      <c r="M74" t="s">
        <v>90</v>
      </c>
      <c r="N74" t="s">
        <v>91</v>
      </c>
      <c r="O74" t="s">
        <v>222</v>
      </c>
      <c r="P74" s="2">
        <v>46255</v>
      </c>
      <c r="Q74" s="2">
        <v>46255</v>
      </c>
    </row>
    <row r="75" spans="1:17" x14ac:dyDescent="0.3">
      <c r="A75" t="s">
        <v>105</v>
      </c>
      <c r="B75" s="2">
        <f>VLOOKUP(A75,'[1]13.10'!$A:$E,5,0)</f>
        <v>46303</v>
      </c>
      <c r="C75">
        <f t="shared" ca="1" si="1"/>
        <v>-1</v>
      </c>
      <c r="D75" t="s">
        <v>186</v>
      </c>
      <c r="E75" t="s">
        <v>186</v>
      </c>
      <c r="F75" t="s">
        <v>186</v>
      </c>
      <c r="G75" t="s">
        <v>186</v>
      </c>
      <c r="H75" t="s">
        <v>186</v>
      </c>
      <c r="I75" t="s">
        <v>186</v>
      </c>
      <c r="J75" t="s">
        <v>103</v>
      </c>
      <c r="K75" t="s">
        <v>11</v>
      </c>
      <c r="L75" t="s">
        <v>89</v>
      </c>
      <c r="M75" t="s">
        <v>90</v>
      </c>
      <c r="N75" t="s">
        <v>91</v>
      </c>
      <c r="O75" t="s">
        <v>222</v>
      </c>
      <c r="P75" s="2">
        <v>46255</v>
      </c>
      <c r="Q75" s="2">
        <v>46255</v>
      </c>
    </row>
    <row r="76" spans="1:17" x14ac:dyDescent="0.3">
      <c r="A76" t="s">
        <v>106</v>
      </c>
      <c r="B76" s="2">
        <f>VLOOKUP(A76,'[1]13.10'!$A:$E,5,0)</f>
        <v>46303</v>
      </c>
      <c r="C76">
        <f t="shared" ca="1" si="1"/>
        <v>-1</v>
      </c>
      <c r="D76" t="s">
        <v>186</v>
      </c>
      <c r="E76" t="s">
        <v>186</v>
      </c>
      <c r="F76" t="s">
        <v>186</v>
      </c>
      <c r="G76" t="s">
        <v>186</v>
      </c>
      <c r="H76" t="s">
        <v>186</v>
      </c>
      <c r="I76" t="s">
        <v>186</v>
      </c>
      <c r="J76" t="s">
        <v>103</v>
      </c>
      <c r="K76" t="s">
        <v>11</v>
      </c>
      <c r="L76" t="s">
        <v>89</v>
      </c>
      <c r="M76" t="s">
        <v>90</v>
      </c>
      <c r="N76" t="s">
        <v>91</v>
      </c>
      <c r="O76" t="s">
        <v>222</v>
      </c>
      <c r="P76" s="2">
        <v>46261</v>
      </c>
      <c r="Q76" s="2">
        <v>46261</v>
      </c>
    </row>
    <row r="77" spans="1:17" x14ac:dyDescent="0.3">
      <c r="A77" t="s">
        <v>107</v>
      </c>
      <c r="B77" s="2">
        <f>VLOOKUP(A77,'[1]13.10'!$A:$E,5,0)</f>
        <v>46303</v>
      </c>
      <c r="C77">
        <f t="shared" ca="1" si="1"/>
        <v>-1</v>
      </c>
      <c r="D77" t="s">
        <v>186</v>
      </c>
      <c r="E77" t="s">
        <v>186</v>
      </c>
      <c r="F77" t="s">
        <v>186</v>
      </c>
      <c r="G77" t="s">
        <v>186</v>
      </c>
      <c r="H77" t="s">
        <v>186</v>
      </c>
      <c r="I77" t="s">
        <v>186</v>
      </c>
      <c r="J77" t="s">
        <v>103</v>
      </c>
      <c r="K77" t="s">
        <v>11</v>
      </c>
      <c r="L77" t="s">
        <v>89</v>
      </c>
      <c r="M77" t="s">
        <v>90</v>
      </c>
      <c r="N77" t="s">
        <v>91</v>
      </c>
      <c r="O77" t="s">
        <v>222</v>
      </c>
      <c r="P77" s="2">
        <v>46261</v>
      </c>
      <c r="Q77" s="2">
        <v>46261</v>
      </c>
    </row>
    <row r="78" spans="1:17" x14ac:dyDescent="0.3">
      <c r="A78" t="s">
        <v>108</v>
      </c>
      <c r="B78" s="2">
        <f>VLOOKUP(A78,'[1]13.10'!$A:$E,5,0)</f>
        <v>46288</v>
      </c>
      <c r="C78">
        <f t="shared" ca="1" si="1"/>
        <v>-16</v>
      </c>
      <c r="D78" t="s">
        <v>186</v>
      </c>
      <c r="E78" t="s">
        <v>186</v>
      </c>
      <c r="F78" t="s">
        <v>186</v>
      </c>
      <c r="G78" t="s">
        <v>186</v>
      </c>
      <c r="H78" t="s">
        <v>186</v>
      </c>
      <c r="I78" t="s">
        <v>186</v>
      </c>
      <c r="J78" t="s">
        <v>62</v>
      </c>
      <c r="K78" t="s">
        <v>11</v>
      </c>
      <c r="L78" t="s">
        <v>89</v>
      </c>
      <c r="M78" t="s">
        <v>90</v>
      </c>
      <c r="N78" t="s">
        <v>91</v>
      </c>
      <c r="O78" t="s">
        <v>222</v>
      </c>
      <c r="P78" s="2">
        <v>46254</v>
      </c>
      <c r="Q78" s="2">
        <v>46254</v>
      </c>
    </row>
    <row r="79" spans="1:17" x14ac:dyDescent="0.3">
      <c r="A79" t="s">
        <v>109</v>
      </c>
      <c r="B79" s="2" t="e">
        <f>VLOOKUP(A79,'[1]13.10'!$A:$E,5,0)</f>
        <v>#N/A</v>
      </c>
      <c r="C79" t="e">
        <f t="shared" ca="1" si="1"/>
        <v>#N/A</v>
      </c>
      <c r="D79" t="s">
        <v>186</v>
      </c>
      <c r="E79" t="s">
        <v>186</v>
      </c>
      <c r="F79" t="s">
        <v>186</v>
      </c>
      <c r="G79" t="s">
        <v>186</v>
      </c>
      <c r="H79" t="s">
        <v>186</v>
      </c>
      <c r="I79" t="s">
        <v>186</v>
      </c>
      <c r="J79" t="s">
        <v>62</v>
      </c>
      <c r="K79" t="s">
        <v>11</v>
      </c>
      <c r="L79" t="s">
        <v>89</v>
      </c>
      <c r="M79" t="s">
        <v>90</v>
      </c>
      <c r="N79" t="s">
        <v>91</v>
      </c>
      <c r="O79" t="s">
        <v>222</v>
      </c>
      <c r="P79" s="2">
        <v>46261</v>
      </c>
      <c r="Q79" s="2">
        <v>46261</v>
      </c>
    </row>
    <row r="80" spans="1:17" x14ac:dyDescent="0.3">
      <c r="A80" t="s">
        <v>110</v>
      </c>
      <c r="B80" s="2">
        <f>VLOOKUP(A80,'[1]13.10'!$A:$E,5,0)</f>
        <v>46303</v>
      </c>
      <c r="C80">
        <f t="shared" ca="1" si="1"/>
        <v>-1</v>
      </c>
      <c r="D80" t="s">
        <v>186</v>
      </c>
      <c r="E80" t="s">
        <v>186</v>
      </c>
      <c r="F80" t="s">
        <v>186</v>
      </c>
      <c r="G80" t="s">
        <v>186</v>
      </c>
      <c r="H80" t="s">
        <v>186</v>
      </c>
      <c r="I80" t="s">
        <v>186</v>
      </c>
      <c r="J80" t="s">
        <v>62</v>
      </c>
      <c r="K80" t="s">
        <v>11</v>
      </c>
      <c r="L80" t="s">
        <v>89</v>
      </c>
      <c r="M80" t="s">
        <v>90</v>
      </c>
      <c r="N80" t="s">
        <v>91</v>
      </c>
      <c r="O80" t="s">
        <v>222</v>
      </c>
      <c r="P80" s="2">
        <v>46269</v>
      </c>
      <c r="Q80" s="2">
        <v>46269</v>
      </c>
    </row>
    <row r="81" spans="1:17" x14ac:dyDescent="0.3">
      <c r="A81" t="s">
        <v>111</v>
      </c>
      <c r="B81" s="2" t="e">
        <f>VLOOKUP(A81,'[1]13.10'!$A:$E,5,0)</f>
        <v>#N/A</v>
      </c>
      <c r="C81" t="e">
        <f t="shared" ca="1" si="1"/>
        <v>#N/A</v>
      </c>
      <c r="D81" t="s">
        <v>186</v>
      </c>
      <c r="E81" t="s">
        <v>186</v>
      </c>
      <c r="F81" t="s">
        <v>186</v>
      </c>
      <c r="G81" t="s">
        <v>186</v>
      </c>
      <c r="H81" t="s">
        <v>186</v>
      </c>
      <c r="I81" t="s">
        <v>186</v>
      </c>
      <c r="J81" t="s">
        <v>62</v>
      </c>
      <c r="K81" t="s">
        <v>11</v>
      </c>
      <c r="L81" t="s">
        <v>89</v>
      </c>
      <c r="M81" t="s">
        <v>90</v>
      </c>
      <c r="N81" t="s">
        <v>91</v>
      </c>
      <c r="O81" t="s">
        <v>222</v>
      </c>
      <c r="P81" s="2">
        <v>46261</v>
      </c>
      <c r="Q81" s="2">
        <v>46261</v>
      </c>
    </row>
    <row r="82" spans="1:17" x14ac:dyDescent="0.3">
      <c r="A82" t="s">
        <v>112</v>
      </c>
      <c r="B82" s="2" t="e">
        <f>VLOOKUP(A82,'[1]13.10'!$A:$E,5,0)</f>
        <v>#N/A</v>
      </c>
      <c r="C82" t="e">
        <f t="shared" ca="1" si="1"/>
        <v>#N/A</v>
      </c>
      <c r="D82" t="s">
        <v>186</v>
      </c>
      <c r="E82" t="s">
        <v>186</v>
      </c>
      <c r="F82" t="s">
        <v>186</v>
      </c>
      <c r="G82" t="s">
        <v>186</v>
      </c>
      <c r="H82" t="s">
        <v>186</v>
      </c>
      <c r="I82" t="s">
        <v>186</v>
      </c>
      <c r="J82" t="s">
        <v>62</v>
      </c>
      <c r="K82" t="s">
        <v>11</v>
      </c>
      <c r="L82" t="s">
        <v>89</v>
      </c>
      <c r="M82" t="s">
        <v>90</v>
      </c>
      <c r="N82" t="s">
        <v>91</v>
      </c>
      <c r="O82" t="s">
        <v>222</v>
      </c>
      <c r="P82" s="2">
        <v>46262</v>
      </c>
      <c r="Q82" s="2">
        <v>46262</v>
      </c>
    </row>
    <row r="83" spans="1:17" x14ac:dyDescent="0.3">
      <c r="A83" t="s">
        <v>113</v>
      </c>
      <c r="B83" s="2">
        <f>VLOOKUP(A83,'[1]13.10'!$A:$E,5,0)</f>
        <v>46303</v>
      </c>
      <c r="C83">
        <f t="shared" ca="1" si="1"/>
        <v>-1</v>
      </c>
      <c r="D83" t="s">
        <v>186</v>
      </c>
      <c r="E83" t="s">
        <v>186</v>
      </c>
      <c r="F83" t="s">
        <v>186</v>
      </c>
      <c r="G83" t="s">
        <v>186</v>
      </c>
      <c r="H83" t="s">
        <v>186</v>
      </c>
      <c r="I83" t="s">
        <v>186</v>
      </c>
      <c r="J83" t="s">
        <v>23</v>
      </c>
      <c r="K83" t="s">
        <v>11</v>
      </c>
      <c r="L83" t="s">
        <v>89</v>
      </c>
      <c r="M83" t="s">
        <v>90</v>
      </c>
      <c r="N83" t="s">
        <v>91</v>
      </c>
      <c r="O83" t="s">
        <v>222</v>
      </c>
      <c r="P83" s="2">
        <v>46185</v>
      </c>
      <c r="Q83" s="2">
        <v>46185</v>
      </c>
    </row>
    <row r="84" spans="1:17" x14ac:dyDescent="0.3">
      <c r="A84" t="s">
        <v>114</v>
      </c>
      <c r="B84" s="2">
        <f>VLOOKUP(A84,'[1]13.10'!$A:$E,5,0)</f>
        <v>46303</v>
      </c>
      <c r="C84">
        <f t="shared" ca="1" si="1"/>
        <v>-1</v>
      </c>
      <c r="D84" t="s">
        <v>186</v>
      </c>
      <c r="E84" t="s">
        <v>186</v>
      </c>
      <c r="F84" t="s">
        <v>186</v>
      </c>
      <c r="G84" t="s">
        <v>186</v>
      </c>
      <c r="H84" t="s">
        <v>186</v>
      </c>
      <c r="I84" t="s">
        <v>186</v>
      </c>
      <c r="J84" t="s">
        <v>23</v>
      </c>
      <c r="K84" t="s">
        <v>11</v>
      </c>
      <c r="L84" t="s">
        <v>89</v>
      </c>
      <c r="M84" t="s">
        <v>90</v>
      </c>
      <c r="N84" t="s">
        <v>91</v>
      </c>
      <c r="O84" t="s">
        <v>222</v>
      </c>
      <c r="P84" s="2">
        <v>46182</v>
      </c>
      <c r="Q84" s="2">
        <v>46181</v>
      </c>
    </row>
    <row r="85" spans="1:17" x14ac:dyDescent="0.3">
      <c r="A85" t="s">
        <v>115</v>
      </c>
      <c r="B85" s="2">
        <f>VLOOKUP(A85,'[1]13.10'!$A:$E,5,0)</f>
        <v>46303</v>
      </c>
      <c r="C85">
        <f t="shared" ca="1" si="1"/>
        <v>-1</v>
      </c>
      <c r="D85" t="s">
        <v>186</v>
      </c>
      <c r="E85" t="s">
        <v>186</v>
      </c>
      <c r="F85" t="s">
        <v>186</v>
      </c>
      <c r="G85" t="s">
        <v>186</v>
      </c>
      <c r="H85" t="s">
        <v>186</v>
      </c>
      <c r="I85" t="s">
        <v>186</v>
      </c>
      <c r="J85" t="s">
        <v>23</v>
      </c>
      <c r="K85" t="s">
        <v>11</v>
      </c>
      <c r="L85" t="s">
        <v>89</v>
      </c>
      <c r="M85" t="s">
        <v>90</v>
      </c>
      <c r="N85" t="s">
        <v>93</v>
      </c>
      <c r="O85" t="s">
        <v>222</v>
      </c>
      <c r="P85" s="2">
        <v>46185</v>
      </c>
      <c r="Q85" s="2">
        <v>46183</v>
      </c>
    </row>
    <row r="86" spans="1:17" x14ac:dyDescent="0.3">
      <c r="A86" t="s">
        <v>116</v>
      </c>
      <c r="B86" s="2">
        <f>VLOOKUP(A86,'[1]13.10'!$A:$E,5,0)</f>
        <v>46303</v>
      </c>
      <c r="C86">
        <f t="shared" ca="1" si="1"/>
        <v>-1</v>
      </c>
      <c r="D86" t="s">
        <v>186</v>
      </c>
      <c r="E86" t="s">
        <v>186</v>
      </c>
      <c r="F86" t="s">
        <v>186</v>
      </c>
      <c r="G86" t="s">
        <v>186</v>
      </c>
      <c r="H86" t="s">
        <v>186</v>
      </c>
      <c r="I86" t="s">
        <v>186</v>
      </c>
      <c r="J86" t="s">
        <v>23</v>
      </c>
      <c r="K86" t="s">
        <v>11</v>
      </c>
      <c r="L86" t="s">
        <v>89</v>
      </c>
      <c r="M86" t="s">
        <v>90</v>
      </c>
      <c r="N86" t="s">
        <v>91</v>
      </c>
      <c r="O86" t="s">
        <v>222</v>
      </c>
      <c r="P86" s="2">
        <v>46148</v>
      </c>
      <c r="Q86" s="2">
        <v>46176</v>
      </c>
    </row>
    <row r="87" spans="1:17" x14ac:dyDescent="0.3">
      <c r="A87" t="s">
        <v>117</v>
      </c>
      <c r="B87" s="2" t="e">
        <f>VLOOKUP(A87,'[1]13.10'!$A:$E,5,0)</f>
        <v>#N/A</v>
      </c>
      <c r="C87" t="e">
        <f t="shared" ca="1" si="1"/>
        <v>#N/A</v>
      </c>
      <c r="D87" t="s">
        <v>186</v>
      </c>
      <c r="E87" t="s">
        <v>186</v>
      </c>
      <c r="F87" t="s">
        <v>186</v>
      </c>
      <c r="G87" t="s">
        <v>186</v>
      </c>
      <c r="H87" t="s">
        <v>186</v>
      </c>
      <c r="I87" t="s">
        <v>186</v>
      </c>
      <c r="J87" t="s">
        <v>62</v>
      </c>
      <c r="K87" t="s">
        <v>11</v>
      </c>
      <c r="L87" t="s">
        <v>89</v>
      </c>
      <c r="M87" t="s">
        <v>90</v>
      </c>
      <c r="N87" t="s">
        <v>91</v>
      </c>
      <c r="O87" t="s">
        <v>222</v>
      </c>
      <c r="P87" s="2">
        <v>46261</v>
      </c>
      <c r="Q87" s="2">
        <v>46261</v>
      </c>
    </row>
    <row r="88" spans="1:17" x14ac:dyDescent="0.3">
      <c r="A88" t="s">
        <v>118</v>
      </c>
      <c r="B88" s="2">
        <f>VLOOKUP(A88,'[1]13.10'!$A:$E,5,0)</f>
        <v>46303</v>
      </c>
      <c r="C88">
        <f t="shared" ca="1" si="1"/>
        <v>-1</v>
      </c>
      <c r="D88" t="s">
        <v>186</v>
      </c>
      <c r="E88" t="s">
        <v>186</v>
      </c>
      <c r="F88" t="s">
        <v>186</v>
      </c>
      <c r="G88" t="s">
        <v>186</v>
      </c>
      <c r="H88" t="s">
        <v>186</v>
      </c>
      <c r="I88" t="s">
        <v>186</v>
      </c>
      <c r="J88" t="s">
        <v>23</v>
      </c>
      <c r="K88" t="s">
        <v>11</v>
      </c>
      <c r="L88" t="s">
        <v>89</v>
      </c>
      <c r="M88" t="s">
        <v>90</v>
      </c>
      <c r="N88" t="s">
        <v>91</v>
      </c>
      <c r="O88" t="s">
        <v>222</v>
      </c>
      <c r="P88" s="2">
        <v>46254</v>
      </c>
      <c r="Q88" s="2">
        <v>46254</v>
      </c>
    </row>
    <row r="89" spans="1:17" x14ac:dyDescent="0.3">
      <c r="A89" t="s">
        <v>119</v>
      </c>
      <c r="B89" s="2">
        <f>VLOOKUP(A89,'[1]13.10'!$A:$E,5,0)</f>
        <v>46303</v>
      </c>
      <c r="C89">
        <f t="shared" ca="1" si="1"/>
        <v>-1</v>
      </c>
      <c r="D89" t="s">
        <v>186</v>
      </c>
      <c r="E89" t="s">
        <v>186</v>
      </c>
      <c r="F89" t="s">
        <v>186</v>
      </c>
      <c r="G89" t="s">
        <v>186</v>
      </c>
      <c r="H89" t="s">
        <v>186</v>
      </c>
      <c r="I89" t="s">
        <v>186</v>
      </c>
      <c r="J89" t="s">
        <v>120</v>
      </c>
      <c r="K89" t="s">
        <v>34</v>
      </c>
      <c r="L89" t="s">
        <v>24</v>
      </c>
      <c r="M89" t="s">
        <v>121</v>
      </c>
      <c r="N89" t="s">
        <v>122</v>
      </c>
      <c r="O89" t="s">
        <v>223</v>
      </c>
      <c r="P89" s="2">
        <v>46199</v>
      </c>
      <c r="Q89" s="2">
        <v>46199</v>
      </c>
    </row>
    <row r="90" spans="1:17" x14ac:dyDescent="0.3">
      <c r="A90" t="s">
        <v>123</v>
      </c>
      <c r="B90" s="2">
        <f>VLOOKUP(A90,'[1]13.10'!$A:$E,5,0)</f>
        <v>46303</v>
      </c>
      <c r="C90">
        <f t="shared" ca="1" si="1"/>
        <v>-1</v>
      </c>
      <c r="D90" t="s">
        <v>186</v>
      </c>
      <c r="E90" t="s">
        <v>186</v>
      </c>
      <c r="F90" t="s">
        <v>186</v>
      </c>
      <c r="G90" t="s">
        <v>186</v>
      </c>
      <c r="H90" t="s">
        <v>186</v>
      </c>
      <c r="I90" t="s">
        <v>186</v>
      </c>
      <c r="J90" t="s">
        <v>120</v>
      </c>
      <c r="K90" t="s">
        <v>34</v>
      </c>
      <c r="L90" t="s">
        <v>24</v>
      </c>
      <c r="M90" t="s">
        <v>121</v>
      </c>
      <c r="N90" t="s">
        <v>122</v>
      </c>
      <c r="O90" t="s">
        <v>223</v>
      </c>
      <c r="P90" s="2">
        <v>46199</v>
      </c>
      <c r="Q90" s="2">
        <v>46199</v>
      </c>
    </row>
    <row r="91" spans="1:17" x14ac:dyDescent="0.3">
      <c r="A91" t="s">
        <v>124</v>
      </c>
      <c r="B91" s="2">
        <f>VLOOKUP(A91,'[1]13.10'!$A:$E,5,0)</f>
        <v>46303</v>
      </c>
      <c r="C91">
        <f t="shared" ca="1" si="1"/>
        <v>-1</v>
      </c>
      <c r="D91" t="s">
        <v>186</v>
      </c>
      <c r="E91" t="s">
        <v>186</v>
      </c>
      <c r="F91" t="s">
        <v>186</v>
      </c>
      <c r="G91" t="s">
        <v>186</v>
      </c>
      <c r="H91" t="s">
        <v>186</v>
      </c>
      <c r="I91" t="s">
        <v>186</v>
      </c>
      <c r="J91" t="s">
        <v>120</v>
      </c>
      <c r="K91" t="s">
        <v>34</v>
      </c>
      <c r="L91" t="s">
        <v>24</v>
      </c>
      <c r="M91" t="s">
        <v>121</v>
      </c>
      <c r="N91" t="s">
        <v>122</v>
      </c>
      <c r="O91" t="s">
        <v>223</v>
      </c>
      <c r="P91" s="2">
        <v>46184</v>
      </c>
      <c r="Q91" s="2">
        <v>46184</v>
      </c>
    </row>
    <row r="92" spans="1:17" x14ac:dyDescent="0.3">
      <c r="A92" t="s">
        <v>125</v>
      </c>
      <c r="B92" s="2">
        <f>VLOOKUP(A92,'[1]13.10'!$A:$E,5,0)</f>
        <v>46281</v>
      </c>
      <c r="C92">
        <f t="shared" ca="1" si="1"/>
        <v>-23</v>
      </c>
      <c r="D92" t="s">
        <v>186</v>
      </c>
      <c r="E92" t="s">
        <v>186</v>
      </c>
      <c r="F92" t="s">
        <v>186</v>
      </c>
      <c r="G92" t="s">
        <v>186</v>
      </c>
      <c r="H92" t="s">
        <v>186</v>
      </c>
      <c r="I92" t="s">
        <v>186</v>
      </c>
      <c r="J92" t="s">
        <v>120</v>
      </c>
      <c r="K92" t="s">
        <v>34</v>
      </c>
      <c r="L92" t="s">
        <v>24</v>
      </c>
      <c r="M92" t="s">
        <v>121</v>
      </c>
      <c r="N92" t="s">
        <v>122</v>
      </c>
      <c r="O92" t="s">
        <v>223</v>
      </c>
      <c r="P92" s="2">
        <v>46176</v>
      </c>
      <c r="Q92" s="2">
        <v>46176</v>
      </c>
    </row>
    <row r="93" spans="1:17" x14ac:dyDescent="0.3">
      <c r="A93" t="s">
        <v>126</v>
      </c>
      <c r="B93" s="2">
        <f>VLOOKUP(A93,'[1]13.10'!$A:$E,5,0)</f>
        <v>46303</v>
      </c>
      <c r="C93">
        <f t="shared" ca="1" si="1"/>
        <v>-1</v>
      </c>
      <c r="D93" t="s">
        <v>186</v>
      </c>
      <c r="E93" t="s">
        <v>186</v>
      </c>
      <c r="F93" t="s">
        <v>186</v>
      </c>
      <c r="G93" t="s">
        <v>186</v>
      </c>
      <c r="H93" t="s">
        <v>186</v>
      </c>
      <c r="I93" t="s">
        <v>186</v>
      </c>
      <c r="J93" t="s">
        <v>10</v>
      </c>
      <c r="K93" t="s">
        <v>11</v>
      </c>
      <c r="L93" t="s">
        <v>24</v>
      </c>
      <c r="M93" t="s">
        <v>121</v>
      </c>
      <c r="N93" t="s">
        <v>122</v>
      </c>
      <c r="O93" t="s">
        <v>223</v>
      </c>
      <c r="P93" s="2">
        <v>46218</v>
      </c>
      <c r="Q93" s="2">
        <v>46218</v>
      </c>
    </row>
    <row r="94" spans="1:17" x14ac:dyDescent="0.3">
      <c r="A94" t="s">
        <v>127</v>
      </c>
      <c r="B94" s="2">
        <f>VLOOKUP(A94,'[1]13.10'!$A:$E,5,0)</f>
        <v>46303</v>
      </c>
      <c r="C94">
        <f t="shared" ca="1" si="1"/>
        <v>-1</v>
      </c>
      <c r="D94" t="s">
        <v>186</v>
      </c>
      <c r="E94" t="s">
        <v>186</v>
      </c>
      <c r="F94" t="s">
        <v>186</v>
      </c>
      <c r="G94" t="s">
        <v>186</v>
      </c>
      <c r="H94" t="s">
        <v>186</v>
      </c>
      <c r="I94" t="s">
        <v>186</v>
      </c>
      <c r="J94" t="s">
        <v>10</v>
      </c>
      <c r="K94" t="s">
        <v>11</v>
      </c>
      <c r="L94" t="s">
        <v>24</v>
      </c>
      <c r="M94" t="s">
        <v>121</v>
      </c>
      <c r="N94" t="s">
        <v>122</v>
      </c>
      <c r="O94" t="s">
        <v>223</v>
      </c>
      <c r="P94" s="2">
        <v>46218</v>
      </c>
      <c r="Q94" s="2">
        <v>46218</v>
      </c>
    </row>
    <row r="95" spans="1:17" x14ac:dyDescent="0.3">
      <c r="A95" t="s">
        <v>128</v>
      </c>
      <c r="B95" s="2">
        <f>VLOOKUP(A95,'[1]13.10'!$A:$E,5,0)</f>
        <v>46303</v>
      </c>
      <c r="C95">
        <f t="shared" ca="1" si="1"/>
        <v>-1</v>
      </c>
      <c r="D95" t="s">
        <v>186</v>
      </c>
      <c r="E95" t="s">
        <v>186</v>
      </c>
      <c r="F95" t="s">
        <v>186</v>
      </c>
      <c r="G95" t="s">
        <v>186</v>
      </c>
      <c r="H95" t="s">
        <v>186</v>
      </c>
      <c r="I95" t="s">
        <v>186</v>
      </c>
      <c r="J95" t="s">
        <v>10</v>
      </c>
      <c r="K95" t="s">
        <v>11</v>
      </c>
      <c r="L95" t="s">
        <v>24</v>
      </c>
      <c r="M95" t="s">
        <v>121</v>
      </c>
      <c r="N95" t="s">
        <v>122</v>
      </c>
      <c r="O95" t="s">
        <v>223</v>
      </c>
      <c r="P95" s="2">
        <v>46218</v>
      </c>
      <c r="Q95" s="2">
        <v>46218</v>
      </c>
    </row>
    <row r="96" spans="1:17" x14ac:dyDescent="0.3">
      <c r="A96" t="s">
        <v>129</v>
      </c>
      <c r="B96" s="2">
        <f>VLOOKUP(A96,'[1]13.10'!$A:$E,5,0)</f>
        <v>46303</v>
      </c>
      <c r="C96">
        <f t="shared" ca="1" si="1"/>
        <v>-1</v>
      </c>
      <c r="D96" t="s">
        <v>186</v>
      </c>
      <c r="E96" t="s">
        <v>186</v>
      </c>
      <c r="F96" t="s">
        <v>186</v>
      </c>
      <c r="G96" t="s">
        <v>186</v>
      </c>
      <c r="H96" t="s">
        <v>186</v>
      </c>
      <c r="I96" t="s">
        <v>186</v>
      </c>
      <c r="J96" t="s">
        <v>10</v>
      </c>
      <c r="K96" t="s">
        <v>11</v>
      </c>
      <c r="L96" t="s">
        <v>24</v>
      </c>
      <c r="M96" t="s">
        <v>121</v>
      </c>
      <c r="N96" t="s">
        <v>122</v>
      </c>
      <c r="O96" t="s">
        <v>223</v>
      </c>
      <c r="P96" s="2">
        <v>46218</v>
      </c>
      <c r="Q96" s="2">
        <v>46218</v>
      </c>
    </row>
    <row r="97" spans="1:17" x14ac:dyDescent="0.3">
      <c r="A97" t="s">
        <v>130</v>
      </c>
      <c r="B97" s="2">
        <f>VLOOKUP(A97,'[1]13.10'!$A:$E,5,0)</f>
        <v>46302</v>
      </c>
      <c r="C97">
        <f t="shared" ca="1" si="1"/>
        <v>-2</v>
      </c>
      <c r="D97" t="s">
        <v>186</v>
      </c>
      <c r="E97" t="s">
        <v>186</v>
      </c>
      <c r="F97" t="s">
        <v>186</v>
      </c>
      <c r="G97" t="s">
        <v>186</v>
      </c>
      <c r="H97" t="s">
        <v>186</v>
      </c>
      <c r="I97" t="s">
        <v>186</v>
      </c>
      <c r="J97" t="s">
        <v>10</v>
      </c>
      <c r="K97" t="s">
        <v>11</v>
      </c>
      <c r="L97" t="s">
        <v>24</v>
      </c>
      <c r="M97" t="s">
        <v>121</v>
      </c>
      <c r="N97" t="s">
        <v>122</v>
      </c>
      <c r="O97" t="s">
        <v>223</v>
      </c>
      <c r="P97" s="2">
        <v>46218</v>
      </c>
      <c r="Q97" s="2">
        <v>46218</v>
      </c>
    </row>
    <row r="98" spans="1:17" x14ac:dyDescent="0.3">
      <c r="A98" t="s">
        <v>131</v>
      </c>
      <c r="B98" s="2">
        <f>VLOOKUP(A98,'[1]13.10'!$A:$E,5,0)</f>
        <v>46303</v>
      </c>
      <c r="C98">
        <f t="shared" ca="1" si="1"/>
        <v>-1</v>
      </c>
      <c r="D98" t="s">
        <v>186</v>
      </c>
      <c r="E98" t="s">
        <v>186</v>
      </c>
      <c r="F98" t="s">
        <v>186</v>
      </c>
      <c r="G98" t="s">
        <v>186</v>
      </c>
      <c r="H98" t="s">
        <v>186</v>
      </c>
      <c r="I98" t="s">
        <v>186</v>
      </c>
      <c r="J98" t="s">
        <v>10</v>
      </c>
      <c r="K98" t="s">
        <v>11</v>
      </c>
      <c r="L98" t="s">
        <v>24</v>
      </c>
      <c r="M98" t="s">
        <v>121</v>
      </c>
      <c r="N98" t="s">
        <v>122</v>
      </c>
      <c r="O98" t="s">
        <v>223</v>
      </c>
      <c r="P98" s="2">
        <v>46218</v>
      </c>
      <c r="Q98" s="2">
        <v>46218</v>
      </c>
    </row>
    <row r="99" spans="1:17" x14ac:dyDescent="0.3">
      <c r="A99" t="s">
        <v>132</v>
      </c>
      <c r="B99" s="2">
        <f>VLOOKUP(A99,'[1]13.10'!$A:$E,5,0)</f>
        <v>46303</v>
      </c>
      <c r="C99">
        <f t="shared" ca="1" si="1"/>
        <v>-1</v>
      </c>
      <c r="D99" t="s">
        <v>186</v>
      </c>
      <c r="E99" t="s">
        <v>186</v>
      </c>
      <c r="F99" t="s">
        <v>186</v>
      </c>
      <c r="G99" t="s">
        <v>186</v>
      </c>
      <c r="H99" t="s">
        <v>186</v>
      </c>
      <c r="I99" t="s">
        <v>186</v>
      </c>
      <c r="J99" t="s">
        <v>120</v>
      </c>
      <c r="K99" t="s">
        <v>34</v>
      </c>
      <c r="L99" t="s">
        <v>24</v>
      </c>
      <c r="M99" t="s">
        <v>121</v>
      </c>
      <c r="N99" t="s">
        <v>122</v>
      </c>
      <c r="O99" t="s">
        <v>223</v>
      </c>
      <c r="P99" s="2">
        <v>46220</v>
      </c>
      <c r="Q99" s="2">
        <v>46227</v>
      </c>
    </row>
    <row r="100" spans="1:17" x14ac:dyDescent="0.3">
      <c r="A100" t="s">
        <v>133</v>
      </c>
      <c r="B100" s="2">
        <f>VLOOKUP(A100,'[1]13.10'!$A:$E,5,0)</f>
        <v>46303</v>
      </c>
      <c r="C100">
        <f t="shared" ca="1" si="1"/>
        <v>-1</v>
      </c>
      <c r="D100" t="s">
        <v>186</v>
      </c>
      <c r="E100" t="s">
        <v>186</v>
      </c>
      <c r="F100" t="s">
        <v>186</v>
      </c>
      <c r="G100" t="s">
        <v>186</v>
      </c>
      <c r="H100" t="s">
        <v>186</v>
      </c>
      <c r="I100" t="s">
        <v>186</v>
      </c>
      <c r="J100" t="s">
        <v>120</v>
      </c>
      <c r="K100" t="s">
        <v>34</v>
      </c>
      <c r="L100" t="s">
        <v>24</v>
      </c>
      <c r="M100" t="s">
        <v>121</v>
      </c>
      <c r="N100" t="s">
        <v>122</v>
      </c>
      <c r="O100" t="s">
        <v>223</v>
      </c>
      <c r="P100" s="2">
        <v>46220</v>
      </c>
      <c r="Q100" s="2">
        <v>46227</v>
      </c>
    </row>
    <row r="101" spans="1:17" x14ac:dyDescent="0.3">
      <c r="A101" t="s">
        <v>134</v>
      </c>
      <c r="B101" s="2">
        <f>VLOOKUP(A101,'[1]13.10'!$A:$E,5,0)</f>
        <v>46303</v>
      </c>
      <c r="C101">
        <f t="shared" ca="1" si="1"/>
        <v>-1</v>
      </c>
      <c r="D101" t="s">
        <v>186</v>
      </c>
      <c r="E101" t="s">
        <v>186</v>
      </c>
      <c r="F101" t="s">
        <v>186</v>
      </c>
      <c r="G101" t="s">
        <v>186</v>
      </c>
      <c r="H101" t="s">
        <v>186</v>
      </c>
      <c r="I101" t="s">
        <v>186</v>
      </c>
      <c r="J101" t="s">
        <v>120</v>
      </c>
      <c r="K101" t="s">
        <v>34</v>
      </c>
      <c r="L101" t="s">
        <v>24</v>
      </c>
      <c r="M101" t="s">
        <v>121</v>
      </c>
      <c r="N101" t="s">
        <v>122</v>
      </c>
      <c r="O101" t="s">
        <v>223</v>
      </c>
      <c r="P101" s="2">
        <v>46220</v>
      </c>
      <c r="Q101" s="2">
        <v>46230</v>
      </c>
    </row>
    <row r="102" spans="1:17" x14ac:dyDescent="0.3">
      <c r="A102" t="s">
        <v>135</v>
      </c>
      <c r="B102" s="2">
        <f>VLOOKUP(A102,'[1]13.10'!$A:$E,5,0)</f>
        <v>46303</v>
      </c>
      <c r="C102">
        <f t="shared" ca="1" si="1"/>
        <v>-1</v>
      </c>
      <c r="D102" t="s">
        <v>186</v>
      </c>
      <c r="E102" t="s">
        <v>186</v>
      </c>
      <c r="F102" t="s">
        <v>186</v>
      </c>
      <c r="G102" t="s">
        <v>186</v>
      </c>
      <c r="H102" t="s">
        <v>186</v>
      </c>
      <c r="I102" t="s">
        <v>186</v>
      </c>
      <c r="J102" t="s">
        <v>120</v>
      </c>
      <c r="K102" t="s">
        <v>34</v>
      </c>
      <c r="L102" t="s">
        <v>24</v>
      </c>
      <c r="M102" t="s">
        <v>121</v>
      </c>
      <c r="N102" t="s">
        <v>122</v>
      </c>
      <c r="O102" t="s">
        <v>223</v>
      </c>
      <c r="P102" s="2">
        <v>46281</v>
      </c>
      <c r="Q102" s="2">
        <v>46289</v>
      </c>
    </row>
    <row r="103" spans="1:17" x14ac:dyDescent="0.3">
      <c r="A103" t="s">
        <v>136</v>
      </c>
      <c r="B103" s="2">
        <f>VLOOKUP(A103,'[1]13.10'!$A:$E,5,0)</f>
        <v>46303</v>
      </c>
      <c r="C103">
        <f t="shared" ca="1" si="1"/>
        <v>-1</v>
      </c>
      <c r="D103" t="s">
        <v>186</v>
      </c>
      <c r="E103" t="s">
        <v>186</v>
      </c>
      <c r="F103" t="s">
        <v>186</v>
      </c>
      <c r="G103" t="s">
        <v>186</v>
      </c>
      <c r="H103" t="s">
        <v>186</v>
      </c>
      <c r="I103" t="s">
        <v>186</v>
      </c>
      <c r="J103" t="s">
        <v>120</v>
      </c>
      <c r="K103" t="s">
        <v>34</v>
      </c>
      <c r="L103" t="s">
        <v>24</v>
      </c>
      <c r="M103" t="s">
        <v>121</v>
      </c>
      <c r="N103" t="s">
        <v>122</v>
      </c>
      <c r="O103" t="s">
        <v>223</v>
      </c>
      <c r="P103" s="2">
        <v>46276</v>
      </c>
      <c r="Q103" s="2">
        <v>46276</v>
      </c>
    </row>
    <row r="104" spans="1:17" x14ac:dyDescent="0.3">
      <c r="A104" t="s">
        <v>137</v>
      </c>
      <c r="B104" s="2">
        <f>VLOOKUP(A104,'[1]13.10'!$A:$E,5,0)</f>
        <v>46303</v>
      </c>
      <c r="C104">
        <f t="shared" ca="1" si="1"/>
        <v>-1</v>
      </c>
      <c r="D104" t="s">
        <v>186</v>
      </c>
      <c r="E104" t="s">
        <v>186</v>
      </c>
      <c r="F104" t="s">
        <v>186</v>
      </c>
      <c r="G104" t="s">
        <v>186</v>
      </c>
      <c r="H104" t="s">
        <v>186</v>
      </c>
      <c r="I104" t="s">
        <v>186</v>
      </c>
      <c r="J104" t="s">
        <v>120</v>
      </c>
      <c r="K104" t="s">
        <v>34</v>
      </c>
      <c r="L104" t="s">
        <v>24</v>
      </c>
      <c r="M104" t="s">
        <v>121</v>
      </c>
      <c r="N104" t="s">
        <v>122</v>
      </c>
      <c r="O104" t="s">
        <v>223</v>
      </c>
      <c r="P104" s="2">
        <v>46276</v>
      </c>
      <c r="Q104" s="2">
        <v>46276</v>
      </c>
    </row>
    <row r="105" spans="1:17" x14ac:dyDescent="0.3">
      <c r="A105" t="s">
        <v>138</v>
      </c>
      <c r="B105" s="2">
        <f>VLOOKUP(A105,'[1]13.10'!$A:$E,5,0)</f>
        <v>46303</v>
      </c>
      <c r="C105">
        <f t="shared" ca="1" si="1"/>
        <v>-1</v>
      </c>
      <c r="D105" t="s">
        <v>186</v>
      </c>
      <c r="E105" t="s">
        <v>186</v>
      </c>
      <c r="F105" t="s">
        <v>186</v>
      </c>
      <c r="G105" t="s">
        <v>186</v>
      </c>
      <c r="H105" t="s">
        <v>186</v>
      </c>
      <c r="I105" t="s">
        <v>186</v>
      </c>
      <c r="J105" t="s">
        <v>120</v>
      </c>
      <c r="K105" t="s">
        <v>34</v>
      </c>
      <c r="L105" t="s">
        <v>24</v>
      </c>
      <c r="M105" t="s">
        <v>121</v>
      </c>
      <c r="N105" t="s">
        <v>122</v>
      </c>
      <c r="O105" t="s">
        <v>223</v>
      </c>
      <c r="P105" s="2">
        <v>46276</v>
      </c>
      <c r="Q105" s="2">
        <v>46276</v>
      </c>
    </row>
    <row r="106" spans="1:17" x14ac:dyDescent="0.3">
      <c r="A106" t="s">
        <v>139</v>
      </c>
      <c r="B106" s="2">
        <f>VLOOKUP(A106,'[1]13.10'!$A:$E,5,0)</f>
        <v>46303</v>
      </c>
      <c r="C106">
        <f t="shared" ca="1" si="1"/>
        <v>-1</v>
      </c>
      <c r="D106" t="s">
        <v>186</v>
      </c>
      <c r="E106" t="s">
        <v>186</v>
      </c>
      <c r="F106" t="s">
        <v>186</v>
      </c>
      <c r="G106" t="s">
        <v>186</v>
      </c>
      <c r="H106" t="s">
        <v>186</v>
      </c>
      <c r="I106" t="s">
        <v>186</v>
      </c>
      <c r="J106" t="s">
        <v>120</v>
      </c>
      <c r="K106" t="s">
        <v>34</v>
      </c>
      <c r="L106" t="s">
        <v>24</v>
      </c>
      <c r="M106" t="s">
        <v>121</v>
      </c>
      <c r="N106" t="s">
        <v>122</v>
      </c>
      <c r="O106" t="s">
        <v>223</v>
      </c>
      <c r="P106" s="2">
        <v>46276</v>
      </c>
      <c r="Q106" s="2">
        <v>46276</v>
      </c>
    </row>
    <row r="107" spans="1:17" x14ac:dyDescent="0.3">
      <c r="A107" t="s">
        <v>140</v>
      </c>
      <c r="B107" s="2">
        <f>VLOOKUP(A107,'[1]13.10'!$A:$E,5,0)</f>
        <v>46303</v>
      </c>
      <c r="C107">
        <f t="shared" ca="1" si="1"/>
        <v>-1</v>
      </c>
      <c r="D107" t="s">
        <v>186</v>
      </c>
      <c r="E107" t="s">
        <v>186</v>
      </c>
      <c r="F107" t="s">
        <v>186</v>
      </c>
      <c r="G107" t="s">
        <v>186</v>
      </c>
      <c r="H107" t="s">
        <v>186</v>
      </c>
      <c r="I107" t="s">
        <v>186</v>
      </c>
      <c r="J107" t="s">
        <v>120</v>
      </c>
      <c r="K107" t="s">
        <v>34</v>
      </c>
      <c r="L107" t="s">
        <v>24</v>
      </c>
      <c r="M107" t="s">
        <v>121</v>
      </c>
      <c r="N107" t="s">
        <v>122</v>
      </c>
      <c r="O107" t="s">
        <v>223</v>
      </c>
      <c r="P107" s="2">
        <v>46276</v>
      </c>
      <c r="Q107" s="2">
        <v>46276</v>
      </c>
    </row>
    <row r="108" spans="1:17" x14ac:dyDescent="0.3">
      <c r="A108" t="s">
        <v>141</v>
      </c>
      <c r="B108" s="2">
        <f>VLOOKUP(A108,'[1]13.10'!$A:$E,5,0)</f>
        <v>46302</v>
      </c>
      <c r="C108">
        <f t="shared" ca="1" si="1"/>
        <v>-2</v>
      </c>
      <c r="D108" t="s">
        <v>186</v>
      </c>
      <c r="E108" t="s">
        <v>186</v>
      </c>
      <c r="F108" t="s">
        <v>186</v>
      </c>
      <c r="G108" t="s">
        <v>186</v>
      </c>
      <c r="H108" t="s">
        <v>186</v>
      </c>
      <c r="I108" t="s">
        <v>186</v>
      </c>
      <c r="J108" t="s">
        <v>120</v>
      </c>
      <c r="K108" t="s">
        <v>34</v>
      </c>
      <c r="L108" t="s">
        <v>24</v>
      </c>
      <c r="M108" t="s">
        <v>121</v>
      </c>
      <c r="N108" t="s">
        <v>122</v>
      </c>
      <c r="O108" t="s">
        <v>223</v>
      </c>
      <c r="P108" s="2">
        <v>46276</v>
      </c>
      <c r="Q108" s="2">
        <v>46276</v>
      </c>
    </row>
    <row r="109" spans="1:17" x14ac:dyDescent="0.3">
      <c r="A109" t="s">
        <v>142</v>
      </c>
      <c r="B109" s="2">
        <f>VLOOKUP(A109,'[1]13.10'!$A:$E,5,0)</f>
        <v>46303</v>
      </c>
      <c r="C109">
        <f t="shared" ca="1" si="1"/>
        <v>-1</v>
      </c>
      <c r="D109" t="s">
        <v>186</v>
      </c>
      <c r="E109" t="s">
        <v>186</v>
      </c>
      <c r="F109" t="s">
        <v>186</v>
      </c>
      <c r="G109" t="s">
        <v>186</v>
      </c>
      <c r="H109" t="s">
        <v>186</v>
      </c>
      <c r="I109" t="s">
        <v>186</v>
      </c>
      <c r="J109" t="s">
        <v>120</v>
      </c>
      <c r="K109" t="s">
        <v>34</v>
      </c>
      <c r="L109" t="s">
        <v>24</v>
      </c>
      <c r="M109" t="s">
        <v>121</v>
      </c>
      <c r="N109" t="s">
        <v>122</v>
      </c>
      <c r="O109" t="s">
        <v>223</v>
      </c>
      <c r="P109" s="2">
        <v>46276</v>
      </c>
      <c r="Q109" s="2">
        <v>46276</v>
      </c>
    </row>
    <row r="110" spans="1:17" x14ac:dyDescent="0.3">
      <c r="A110" t="s">
        <v>143</v>
      </c>
      <c r="B110" s="2">
        <f>VLOOKUP(A110,'[1]13.10'!$A:$E,5,0)</f>
        <v>0</v>
      </c>
      <c r="C110">
        <f t="shared" ca="1" si="1"/>
        <v>-46304</v>
      </c>
      <c r="D110" t="s">
        <v>186</v>
      </c>
      <c r="E110" t="s">
        <v>186</v>
      </c>
      <c r="F110" t="s">
        <v>186</v>
      </c>
      <c r="G110" t="s">
        <v>186</v>
      </c>
      <c r="H110" t="s">
        <v>186</v>
      </c>
      <c r="I110" t="s">
        <v>186</v>
      </c>
      <c r="J110" t="s">
        <v>10</v>
      </c>
      <c r="K110" t="s">
        <v>11</v>
      </c>
      <c r="L110" t="s">
        <v>24</v>
      </c>
      <c r="M110" t="s">
        <v>121</v>
      </c>
      <c r="N110" t="s">
        <v>122</v>
      </c>
      <c r="O110" t="s">
        <v>223</v>
      </c>
      <c r="P110" s="2">
        <v>46295</v>
      </c>
      <c r="Q110" s="2">
        <v>46297</v>
      </c>
    </row>
    <row r="111" spans="1:17" x14ac:dyDescent="0.3">
      <c r="A111" t="s">
        <v>144</v>
      </c>
      <c r="B111" s="2">
        <f>VLOOKUP(A111,'[1]13.10'!$A:$E,5,0)</f>
        <v>46303</v>
      </c>
      <c r="C111">
        <f t="shared" ca="1" si="1"/>
        <v>-1</v>
      </c>
      <c r="D111" t="s">
        <v>186</v>
      </c>
      <c r="E111" t="s">
        <v>186</v>
      </c>
      <c r="F111" t="s">
        <v>186</v>
      </c>
      <c r="G111" t="s">
        <v>186</v>
      </c>
      <c r="H111" t="s">
        <v>186</v>
      </c>
      <c r="I111" t="s">
        <v>186</v>
      </c>
      <c r="J111" t="s">
        <v>29</v>
      </c>
      <c r="K111" t="s">
        <v>11</v>
      </c>
      <c r="L111" t="s">
        <v>30</v>
      </c>
      <c r="M111" t="s">
        <v>25</v>
      </c>
      <c r="N111" t="s">
        <v>31</v>
      </c>
      <c r="O111" t="s">
        <v>220</v>
      </c>
      <c r="P111" s="2">
        <v>46207</v>
      </c>
      <c r="Q111" s="2">
        <v>46206</v>
      </c>
    </row>
    <row r="112" spans="1:17" x14ac:dyDescent="0.3">
      <c r="A112" t="s">
        <v>187</v>
      </c>
      <c r="B112" s="2" t="e">
        <f>VLOOKUP(A112,'[1]13.10'!$A:$E,5,0)</f>
        <v>#N/A</v>
      </c>
      <c r="C112" t="e">
        <f t="shared" ca="1" si="1"/>
        <v>#N/A</v>
      </c>
      <c r="J112" t="s">
        <v>29</v>
      </c>
      <c r="K112" t="s">
        <v>11</v>
      </c>
      <c r="L112" t="s">
        <v>24</v>
      </c>
      <c r="M112" t="s">
        <v>25</v>
      </c>
      <c r="N112" t="s">
        <v>148</v>
      </c>
      <c r="O112" t="s">
        <v>219</v>
      </c>
      <c r="P112" s="2"/>
      <c r="Q112" s="2"/>
    </row>
    <row r="113" spans="1:17" x14ac:dyDescent="0.3">
      <c r="A113" t="s">
        <v>145</v>
      </c>
      <c r="B113" s="2">
        <f>VLOOKUP(A113,'[1]13.10'!$A:$E,5,0)</f>
        <v>46303</v>
      </c>
      <c r="C113">
        <f t="shared" ca="1" si="1"/>
        <v>-1</v>
      </c>
      <c r="D113" t="s">
        <v>186</v>
      </c>
      <c r="E113" t="s">
        <v>186</v>
      </c>
      <c r="F113" t="s">
        <v>186</v>
      </c>
      <c r="G113" t="s">
        <v>186</v>
      </c>
      <c r="H113" t="s">
        <v>186</v>
      </c>
      <c r="I113" t="s">
        <v>186</v>
      </c>
      <c r="J113" t="s">
        <v>29</v>
      </c>
      <c r="K113" t="s">
        <v>11</v>
      </c>
      <c r="L113" t="s">
        <v>30</v>
      </c>
      <c r="M113" t="s">
        <v>25</v>
      </c>
      <c r="N113" t="s">
        <v>31</v>
      </c>
      <c r="O113" t="s">
        <v>220</v>
      </c>
      <c r="P113" s="2">
        <v>46207</v>
      </c>
      <c r="Q113" s="2">
        <v>46206</v>
      </c>
    </row>
    <row r="114" spans="1:17" x14ac:dyDescent="0.3">
      <c r="A114" t="s">
        <v>146</v>
      </c>
      <c r="B114" s="2">
        <f>VLOOKUP(A114,'[1]13.10'!$A:$E,5,0)</f>
        <v>46303</v>
      </c>
      <c r="C114">
        <f t="shared" ca="1" si="1"/>
        <v>-1</v>
      </c>
      <c r="D114" t="s">
        <v>186</v>
      </c>
      <c r="E114" t="s">
        <v>186</v>
      </c>
      <c r="F114" t="s">
        <v>186</v>
      </c>
      <c r="G114" t="s">
        <v>186</v>
      </c>
      <c r="H114" t="s">
        <v>186</v>
      </c>
      <c r="I114" t="s">
        <v>186</v>
      </c>
      <c r="J114" t="s">
        <v>29</v>
      </c>
      <c r="K114" t="s">
        <v>11</v>
      </c>
      <c r="L114" t="s">
        <v>30</v>
      </c>
      <c r="M114" t="s">
        <v>25</v>
      </c>
      <c r="N114" t="s">
        <v>31</v>
      </c>
      <c r="O114" t="s">
        <v>220</v>
      </c>
      <c r="P114" s="2">
        <v>46207</v>
      </c>
      <c r="Q114" s="2">
        <v>46206</v>
      </c>
    </row>
    <row r="115" spans="1:17" x14ac:dyDescent="0.3">
      <c r="A115" t="s">
        <v>147</v>
      </c>
      <c r="B115" s="2">
        <f>VLOOKUP(A115,'[1]13.10'!$A:$E,5,0)</f>
        <v>46303</v>
      </c>
      <c r="C115">
        <f t="shared" ca="1" si="1"/>
        <v>-1</v>
      </c>
      <c r="D115" t="s">
        <v>186</v>
      </c>
      <c r="E115" t="s">
        <v>186</v>
      </c>
      <c r="F115" t="s">
        <v>186</v>
      </c>
      <c r="G115" t="s">
        <v>186</v>
      </c>
      <c r="H115" t="s">
        <v>186</v>
      </c>
      <c r="I115" t="s">
        <v>186</v>
      </c>
      <c r="J115" t="s">
        <v>23</v>
      </c>
      <c r="K115" t="s">
        <v>11</v>
      </c>
      <c r="L115" t="s">
        <v>24</v>
      </c>
      <c r="M115" t="s">
        <v>25</v>
      </c>
      <c r="N115" t="s">
        <v>148</v>
      </c>
      <c r="O115" t="s">
        <v>219</v>
      </c>
      <c r="P115" s="2">
        <v>46207</v>
      </c>
      <c r="Q115" s="2">
        <v>46204</v>
      </c>
    </row>
    <row r="116" spans="1:17" x14ac:dyDescent="0.3">
      <c r="A116" t="s">
        <v>149</v>
      </c>
      <c r="B116" s="2">
        <f>VLOOKUP(A116,'[1]13.10'!$A:$E,5,0)</f>
        <v>46303</v>
      </c>
      <c r="C116">
        <f t="shared" ca="1" si="1"/>
        <v>-1</v>
      </c>
      <c r="D116" t="s">
        <v>186</v>
      </c>
      <c r="E116" t="s">
        <v>186</v>
      </c>
      <c r="F116" t="s">
        <v>186</v>
      </c>
      <c r="G116" t="s">
        <v>186</v>
      </c>
      <c r="H116" t="s">
        <v>186</v>
      </c>
      <c r="I116" t="s">
        <v>186</v>
      </c>
      <c r="J116" t="s">
        <v>23</v>
      </c>
      <c r="K116" t="s">
        <v>11</v>
      </c>
      <c r="L116" t="s">
        <v>24</v>
      </c>
      <c r="M116" t="s">
        <v>25</v>
      </c>
      <c r="N116" t="s">
        <v>148</v>
      </c>
      <c r="O116" t="s">
        <v>219</v>
      </c>
      <c r="P116" s="2">
        <v>46217</v>
      </c>
      <c r="Q116" s="2">
        <v>46214</v>
      </c>
    </row>
    <row r="117" spans="1:17" x14ac:dyDescent="0.3">
      <c r="A117" t="s">
        <v>150</v>
      </c>
      <c r="B117" s="2">
        <f>VLOOKUP(A117,'[1]13.10'!$A:$E,5,0)</f>
        <v>46303</v>
      </c>
      <c r="C117">
        <f t="shared" ca="1" si="1"/>
        <v>-1</v>
      </c>
      <c r="D117" t="s">
        <v>186</v>
      </c>
      <c r="E117" t="s">
        <v>186</v>
      </c>
      <c r="F117" t="s">
        <v>186</v>
      </c>
      <c r="G117" t="s">
        <v>186</v>
      </c>
      <c r="H117" t="s">
        <v>186</v>
      </c>
      <c r="I117" t="s">
        <v>186</v>
      </c>
      <c r="J117" t="s">
        <v>23</v>
      </c>
      <c r="K117" t="s">
        <v>11</v>
      </c>
      <c r="L117" t="s">
        <v>24</v>
      </c>
      <c r="M117" t="s">
        <v>25</v>
      </c>
      <c r="N117" t="s">
        <v>148</v>
      </c>
      <c r="O117" t="s">
        <v>219</v>
      </c>
      <c r="P117" s="2">
        <v>46207</v>
      </c>
      <c r="Q117" s="2">
        <v>46204</v>
      </c>
    </row>
    <row r="118" spans="1:17" x14ac:dyDescent="0.3">
      <c r="A118" t="s">
        <v>151</v>
      </c>
      <c r="B118" s="2">
        <f>VLOOKUP(A118,'[1]13.10'!$A:$E,5,0)</f>
        <v>46303</v>
      </c>
      <c r="C118">
        <f t="shared" ca="1" si="1"/>
        <v>-1</v>
      </c>
      <c r="D118" t="s">
        <v>186</v>
      </c>
      <c r="E118" t="s">
        <v>186</v>
      </c>
      <c r="F118" t="s">
        <v>186</v>
      </c>
      <c r="G118" t="s">
        <v>186</v>
      </c>
      <c r="H118" t="s">
        <v>186</v>
      </c>
      <c r="I118" t="s">
        <v>186</v>
      </c>
      <c r="J118" t="s">
        <v>23</v>
      </c>
      <c r="K118" t="s">
        <v>11</v>
      </c>
      <c r="L118" t="s">
        <v>24</v>
      </c>
      <c r="M118" t="s">
        <v>25</v>
      </c>
      <c r="N118" t="s">
        <v>148</v>
      </c>
      <c r="O118" t="s">
        <v>219</v>
      </c>
      <c r="P118" s="2">
        <v>46207</v>
      </c>
      <c r="Q118" s="2">
        <v>46204</v>
      </c>
    </row>
    <row r="119" spans="1:17" x14ac:dyDescent="0.3">
      <c r="A119" t="s">
        <v>152</v>
      </c>
      <c r="B119" s="2">
        <f>VLOOKUP(A119,'[1]13.10'!$A:$E,5,0)</f>
        <v>46303</v>
      </c>
      <c r="C119">
        <f t="shared" ca="1" si="1"/>
        <v>-1</v>
      </c>
      <c r="D119" t="s">
        <v>186</v>
      </c>
      <c r="E119" t="s">
        <v>186</v>
      </c>
      <c r="F119" t="s">
        <v>186</v>
      </c>
      <c r="G119" t="s">
        <v>186</v>
      </c>
      <c r="H119" t="s">
        <v>186</v>
      </c>
      <c r="I119" t="s">
        <v>186</v>
      </c>
      <c r="J119" t="s">
        <v>23</v>
      </c>
      <c r="K119" t="s">
        <v>11</v>
      </c>
      <c r="L119" t="s">
        <v>24</v>
      </c>
      <c r="M119" t="s">
        <v>25</v>
      </c>
      <c r="N119" t="s">
        <v>148</v>
      </c>
      <c r="O119" t="s">
        <v>219</v>
      </c>
      <c r="P119" s="2">
        <v>46207</v>
      </c>
      <c r="Q119" s="2">
        <v>46204</v>
      </c>
    </row>
    <row r="120" spans="1:17" x14ac:dyDescent="0.3">
      <c r="A120" t="s">
        <v>153</v>
      </c>
      <c r="B120" s="2">
        <f>VLOOKUP(A120,'[1]13.10'!$A:$E,5,0)</f>
        <v>46303</v>
      </c>
      <c r="C120">
        <f t="shared" ca="1" si="1"/>
        <v>-1</v>
      </c>
      <c r="D120" t="s">
        <v>186</v>
      </c>
      <c r="E120" t="s">
        <v>186</v>
      </c>
      <c r="F120" t="s">
        <v>186</v>
      </c>
      <c r="G120" t="s">
        <v>186</v>
      </c>
      <c r="H120" t="s">
        <v>186</v>
      </c>
      <c r="I120" t="s">
        <v>186</v>
      </c>
      <c r="J120" t="s">
        <v>23</v>
      </c>
      <c r="K120" t="s">
        <v>11</v>
      </c>
      <c r="L120" t="s">
        <v>24</v>
      </c>
      <c r="M120" t="s">
        <v>25</v>
      </c>
      <c r="N120" t="s">
        <v>148</v>
      </c>
      <c r="O120" t="s">
        <v>219</v>
      </c>
      <c r="P120" s="2">
        <v>46207</v>
      </c>
      <c r="Q120" s="2">
        <v>46204</v>
      </c>
    </row>
    <row r="121" spans="1:17" x14ac:dyDescent="0.3">
      <c r="A121" t="s">
        <v>154</v>
      </c>
      <c r="B121" s="2">
        <f>VLOOKUP(A121,'[1]13.10'!$A:$E,5,0)</f>
        <v>0</v>
      </c>
      <c r="C121">
        <f t="shared" ca="1" si="1"/>
        <v>-46304</v>
      </c>
      <c r="J121" t="s">
        <v>120</v>
      </c>
      <c r="K121" t="s">
        <v>34</v>
      </c>
      <c r="L121" t="s">
        <v>24</v>
      </c>
      <c r="M121" t="s">
        <v>25</v>
      </c>
      <c r="N121" t="s">
        <v>155</v>
      </c>
      <c r="O121" t="s">
        <v>219</v>
      </c>
      <c r="P121" s="2">
        <v>46280</v>
      </c>
      <c r="Q121" s="2"/>
    </row>
    <row r="122" spans="1:17" x14ac:dyDescent="0.3">
      <c r="A122" t="s">
        <v>156</v>
      </c>
      <c r="B122" s="2">
        <f>VLOOKUP(A122,'[1]13.10'!$A:$E,5,0)</f>
        <v>46303</v>
      </c>
      <c r="C122">
        <f t="shared" ca="1" si="1"/>
        <v>-1</v>
      </c>
      <c r="D122" t="s">
        <v>186</v>
      </c>
      <c r="E122" t="s">
        <v>186</v>
      </c>
      <c r="F122" t="s">
        <v>186</v>
      </c>
      <c r="G122" t="s">
        <v>186</v>
      </c>
      <c r="H122" t="s">
        <v>186</v>
      </c>
      <c r="I122" t="s">
        <v>186</v>
      </c>
      <c r="J122" t="s">
        <v>103</v>
      </c>
      <c r="K122" t="s">
        <v>11</v>
      </c>
      <c r="L122" t="s">
        <v>24</v>
      </c>
      <c r="M122" t="s">
        <v>25</v>
      </c>
      <c r="N122" t="s">
        <v>148</v>
      </c>
      <c r="O122" t="s">
        <v>219</v>
      </c>
      <c r="P122" s="2">
        <v>46280</v>
      </c>
      <c r="Q122" s="2">
        <v>46277</v>
      </c>
    </row>
    <row r="123" spans="1:17" x14ac:dyDescent="0.3">
      <c r="A123" t="s">
        <v>157</v>
      </c>
      <c r="B123" s="2">
        <f>VLOOKUP(A123,'[1]13.10'!$A:$E,5,0)</f>
        <v>46303</v>
      </c>
      <c r="C123">
        <f t="shared" ca="1" si="1"/>
        <v>-1</v>
      </c>
      <c r="D123" t="s">
        <v>186</v>
      </c>
      <c r="E123" t="s">
        <v>186</v>
      </c>
      <c r="F123" t="s">
        <v>186</v>
      </c>
      <c r="G123" t="s">
        <v>186</v>
      </c>
      <c r="H123" t="s">
        <v>186</v>
      </c>
      <c r="I123" t="s">
        <v>186</v>
      </c>
      <c r="J123" t="s">
        <v>103</v>
      </c>
      <c r="K123" t="s">
        <v>11</v>
      </c>
      <c r="L123" t="s">
        <v>24</v>
      </c>
      <c r="M123" t="s">
        <v>25</v>
      </c>
      <c r="N123" t="s">
        <v>148</v>
      </c>
      <c r="O123" t="s">
        <v>219</v>
      </c>
      <c r="P123" s="2">
        <v>46280</v>
      </c>
      <c r="Q123" s="2">
        <v>46281</v>
      </c>
    </row>
    <row r="124" spans="1:17" x14ac:dyDescent="0.3">
      <c r="A124" t="s">
        <v>158</v>
      </c>
      <c r="B124" s="2">
        <f>VLOOKUP(A124,'[1]13.10'!$A:$E,5,0)</f>
        <v>46303</v>
      </c>
      <c r="C124">
        <f t="shared" ca="1" si="1"/>
        <v>-1</v>
      </c>
      <c r="D124" t="s">
        <v>186</v>
      </c>
      <c r="E124" t="s">
        <v>186</v>
      </c>
      <c r="F124" t="s">
        <v>186</v>
      </c>
      <c r="G124" t="s">
        <v>186</v>
      </c>
      <c r="H124" t="s">
        <v>186</v>
      </c>
      <c r="I124" t="s">
        <v>186</v>
      </c>
      <c r="J124" t="s">
        <v>103</v>
      </c>
      <c r="K124" t="s">
        <v>11</v>
      </c>
      <c r="L124" t="s">
        <v>24</v>
      </c>
      <c r="M124" t="s">
        <v>25</v>
      </c>
      <c r="N124" t="s">
        <v>148</v>
      </c>
      <c r="O124" t="s">
        <v>219</v>
      </c>
      <c r="P124" s="2">
        <v>46280</v>
      </c>
      <c r="Q124" s="2">
        <v>46282</v>
      </c>
    </row>
    <row r="125" spans="1:17" x14ac:dyDescent="0.3">
      <c r="A125" t="s">
        <v>159</v>
      </c>
      <c r="B125" s="2">
        <f>VLOOKUP(A125,'[1]13.10'!$A:$E,5,0)</f>
        <v>46303</v>
      </c>
      <c r="C125">
        <f t="shared" ca="1" si="1"/>
        <v>-1</v>
      </c>
      <c r="D125" t="s">
        <v>186</v>
      </c>
      <c r="E125" t="s">
        <v>186</v>
      </c>
      <c r="F125" t="s">
        <v>186</v>
      </c>
      <c r="G125" t="s">
        <v>186</v>
      </c>
      <c r="H125" t="s">
        <v>186</v>
      </c>
      <c r="I125" t="s">
        <v>186</v>
      </c>
      <c r="J125" t="s">
        <v>103</v>
      </c>
      <c r="K125" t="s">
        <v>11</v>
      </c>
      <c r="L125" t="s">
        <v>24</v>
      </c>
      <c r="M125" t="s">
        <v>25</v>
      </c>
      <c r="N125" t="s">
        <v>148</v>
      </c>
      <c r="O125" t="s">
        <v>219</v>
      </c>
      <c r="P125" s="2">
        <v>46280</v>
      </c>
      <c r="Q125" s="2">
        <v>46282</v>
      </c>
    </row>
    <row r="126" spans="1:17" x14ac:dyDescent="0.3">
      <c r="A126" t="s">
        <v>160</v>
      </c>
      <c r="B126" s="2">
        <f>VLOOKUP(A126,'[1]13.10'!$A:$E,5,0)</f>
        <v>46303</v>
      </c>
      <c r="C126">
        <f t="shared" ca="1" si="1"/>
        <v>-1</v>
      </c>
      <c r="D126" t="s">
        <v>186</v>
      </c>
      <c r="E126" t="s">
        <v>186</v>
      </c>
      <c r="F126" t="s">
        <v>186</v>
      </c>
      <c r="G126" t="s">
        <v>186</v>
      </c>
      <c r="H126" t="s">
        <v>186</v>
      </c>
      <c r="I126" t="s">
        <v>186</v>
      </c>
      <c r="J126" t="s">
        <v>103</v>
      </c>
      <c r="K126" t="s">
        <v>11</v>
      </c>
      <c r="L126" t="s">
        <v>24</v>
      </c>
      <c r="M126" t="s">
        <v>25</v>
      </c>
      <c r="N126" t="s">
        <v>148</v>
      </c>
      <c r="O126" t="s">
        <v>219</v>
      </c>
      <c r="P126" s="2">
        <v>46280</v>
      </c>
      <c r="Q126" s="2">
        <v>46281</v>
      </c>
    </row>
    <row r="127" spans="1:17" x14ac:dyDescent="0.3">
      <c r="A127" t="s">
        <v>161</v>
      </c>
      <c r="B127" s="2">
        <f>VLOOKUP(A127,'[1]13.10'!$A:$E,5,0)</f>
        <v>46303</v>
      </c>
      <c r="C127">
        <f t="shared" ca="1" si="1"/>
        <v>-1</v>
      </c>
      <c r="D127" t="s">
        <v>186</v>
      </c>
      <c r="E127" t="s">
        <v>186</v>
      </c>
      <c r="F127" t="s">
        <v>186</v>
      </c>
      <c r="G127" t="s">
        <v>186</v>
      </c>
      <c r="H127" t="s">
        <v>186</v>
      </c>
      <c r="I127" t="s">
        <v>186</v>
      </c>
      <c r="J127" t="s">
        <v>29</v>
      </c>
      <c r="K127" t="s">
        <v>11</v>
      </c>
      <c r="L127" t="s">
        <v>30</v>
      </c>
      <c r="M127" t="s">
        <v>25</v>
      </c>
      <c r="N127" t="s">
        <v>31</v>
      </c>
      <c r="O127" t="s">
        <v>220</v>
      </c>
      <c r="P127" s="2">
        <v>46215</v>
      </c>
      <c r="Q127" s="2">
        <v>46212</v>
      </c>
    </row>
    <row r="128" spans="1:17" x14ac:dyDescent="0.3">
      <c r="A128" t="s">
        <v>162</v>
      </c>
      <c r="B128" s="2">
        <f>VLOOKUP(A128,'[1]13.10'!$A:$E,5,0)</f>
        <v>46303</v>
      </c>
      <c r="C128">
        <f t="shared" ca="1" si="1"/>
        <v>-1</v>
      </c>
      <c r="D128" t="s">
        <v>186</v>
      </c>
      <c r="E128" t="s">
        <v>186</v>
      </c>
      <c r="F128" t="s">
        <v>186</v>
      </c>
      <c r="G128" t="s">
        <v>186</v>
      </c>
      <c r="H128" t="s">
        <v>186</v>
      </c>
      <c r="I128" t="s">
        <v>186</v>
      </c>
      <c r="J128" t="s">
        <v>23</v>
      </c>
      <c r="K128" t="s">
        <v>11</v>
      </c>
      <c r="L128" t="s">
        <v>24</v>
      </c>
      <c r="M128" t="s">
        <v>25</v>
      </c>
      <c r="N128" t="s">
        <v>148</v>
      </c>
      <c r="O128" t="s">
        <v>219</v>
      </c>
      <c r="P128" s="2">
        <v>46207</v>
      </c>
      <c r="Q128" s="2">
        <v>46204</v>
      </c>
    </row>
    <row r="129" spans="1:17" x14ac:dyDescent="0.3">
      <c r="A129" t="s">
        <v>163</v>
      </c>
      <c r="B129" s="2">
        <f>VLOOKUP(A129,'[1]13.10'!$A:$E,5,0)</f>
        <v>46303</v>
      </c>
      <c r="C129">
        <f t="shared" ca="1" si="1"/>
        <v>-1</v>
      </c>
      <c r="D129" t="s">
        <v>186</v>
      </c>
      <c r="E129" t="s">
        <v>186</v>
      </c>
      <c r="F129" t="s">
        <v>186</v>
      </c>
      <c r="G129" t="s">
        <v>186</v>
      </c>
      <c r="H129" t="s">
        <v>186</v>
      </c>
      <c r="I129" t="s">
        <v>186</v>
      </c>
      <c r="J129" t="s">
        <v>23</v>
      </c>
      <c r="K129" t="s">
        <v>11</v>
      </c>
      <c r="L129" t="s">
        <v>24</v>
      </c>
      <c r="M129" t="s">
        <v>25</v>
      </c>
      <c r="N129" t="s">
        <v>155</v>
      </c>
      <c r="O129" t="s">
        <v>219</v>
      </c>
      <c r="P129" s="2">
        <v>46290</v>
      </c>
      <c r="Q129" s="2">
        <v>46289</v>
      </c>
    </row>
    <row r="130" spans="1:17" x14ac:dyDescent="0.3">
      <c r="A130" t="s">
        <v>164</v>
      </c>
      <c r="B130" s="2">
        <f>VLOOKUP(A130,'[1]13.10'!$A:$E,5,0)</f>
        <v>46302</v>
      </c>
      <c r="C130">
        <f t="shared" ca="1" si="1"/>
        <v>-2</v>
      </c>
      <c r="D130" t="s">
        <v>186</v>
      </c>
      <c r="E130" t="s">
        <v>186</v>
      </c>
      <c r="F130" t="s">
        <v>186</v>
      </c>
      <c r="G130" t="s">
        <v>186</v>
      </c>
      <c r="H130" t="s">
        <v>186</v>
      </c>
      <c r="I130" t="s">
        <v>186</v>
      </c>
      <c r="J130" t="s">
        <v>23</v>
      </c>
      <c r="K130" t="s">
        <v>11</v>
      </c>
      <c r="L130" t="s">
        <v>24</v>
      </c>
      <c r="M130" t="s">
        <v>25</v>
      </c>
      <c r="N130" t="s">
        <v>155</v>
      </c>
      <c r="O130" t="s">
        <v>219</v>
      </c>
      <c r="P130" s="2">
        <v>46290</v>
      </c>
      <c r="Q130" s="2">
        <v>46288</v>
      </c>
    </row>
    <row r="131" spans="1:17" x14ac:dyDescent="0.3">
      <c r="A131" t="s">
        <v>188</v>
      </c>
      <c r="B131" s="2" t="e">
        <f>VLOOKUP(A131,'[1]13.10'!$A:$E,5,0)</f>
        <v>#N/A</v>
      </c>
      <c r="C131" t="e">
        <f t="shared" ref="C131:C172" ca="1" si="2">B131-$R$1</f>
        <v>#N/A</v>
      </c>
      <c r="D131" t="s">
        <v>186</v>
      </c>
      <c r="E131" t="s">
        <v>186</v>
      </c>
      <c r="F131" t="s">
        <v>186</v>
      </c>
      <c r="G131" t="s">
        <v>186</v>
      </c>
      <c r="H131" t="s">
        <v>186</v>
      </c>
      <c r="I131" t="s">
        <v>186</v>
      </c>
      <c r="J131" t="s">
        <v>165</v>
      </c>
      <c r="K131" t="s">
        <v>11</v>
      </c>
      <c r="L131" t="s">
        <v>24</v>
      </c>
      <c r="M131" t="s">
        <v>25</v>
      </c>
      <c r="N131" t="s">
        <v>148</v>
      </c>
      <c r="O131" t="s">
        <v>219</v>
      </c>
      <c r="P131" s="2"/>
      <c r="Q131" s="2">
        <v>46295</v>
      </c>
    </row>
    <row r="132" spans="1:17" x14ac:dyDescent="0.3">
      <c r="A132" t="s">
        <v>189</v>
      </c>
      <c r="B132" s="2" t="e">
        <f>VLOOKUP(A132,'[1]13.10'!$A:$E,5,0)</f>
        <v>#N/A</v>
      </c>
      <c r="C132" t="e">
        <f t="shared" ca="1" si="2"/>
        <v>#N/A</v>
      </c>
      <c r="J132" t="s">
        <v>165</v>
      </c>
      <c r="K132" t="s">
        <v>11</v>
      </c>
      <c r="L132" t="s">
        <v>24</v>
      </c>
      <c r="M132" t="s">
        <v>25</v>
      </c>
      <c r="N132" t="s">
        <v>148</v>
      </c>
      <c r="O132" t="s">
        <v>219</v>
      </c>
      <c r="P132" s="2"/>
      <c r="Q132" s="2"/>
    </row>
    <row r="133" spans="1:17" x14ac:dyDescent="0.3">
      <c r="A133" t="s">
        <v>190</v>
      </c>
      <c r="B133" s="2" t="e">
        <f>VLOOKUP(A133,'[1]13.10'!$A:$E,5,0)</f>
        <v>#N/A</v>
      </c>
      <c r="C133" t="e">
        <f t="shared" ca="1" si="2"/>
        <v>#N/A</v>
      </c>
      <c r="J133" t="s">
        <v>165</v>
      </c>
      <c r="K133" t="s">
        <v>11</v>
      </c>
      <c r="L133" t="s">
        <v>24</v>
      </c>
      <c r="M133" t="s">
        <v>25</v>
      </c>
      <c r="N133" t="s">
        <v>148</v>
      </c>
      <c r="O133" t="s">
        <v>219</v>
      </c>
      <c r="P133" s="2"/>
      <c r="Q133" s="2"/>
    </row>
    <row r="134" spans="1:17" x14ac:dyDescent="0.3">
      <c r="A134" t="s">
        <v>191</v>
      </c>
      <c r="B134" s="2" t="e">
        <f>VLOOKUP(A134,'[1]13.10'!$A:$E,5,0)</f>
        <v>#N/A</v>
      </c>
      <c r="C134" t="e">
        <f t="shared" ca="1" si="2"/>
        <v>#N/A</v>
      </c>
      <c r="J134" t="s">
        <v>165</v>
      </c>
      <c r="K134" t="s">
        <v>11</v>
      </c>
      <c r="L134" t="s">
        <v>24</v>
      </c>
      <c r="M134" t="s">
        <v>25</v>
      </c>
      <c r="N134" t="s">
        <v>148</v>
      </c>
      <c r="O134" t="s">
        <v>219</v>
      </c>
      <c r="P134" s="2"/>
      <c r="Q134" s="2"/>
    </row>
    <row r="135" spans="1:17" x14ac:dyDescent="0.3">
      <c r="A135" t="s">
        <v>192</v>
      </c>
      <c r="B135" s="2" t="e">
        <f>VLOOKUP(A135,'[1]13.10'!$A:$E,5,0)</f>
        <v>#N/A</v>
      </c>
      <c r="C135" t="e">
        <f t="shared" ca="1" si="2"/>
        <v>#N/A</v>
      </c>
      <c r="J135" t="s">
        <v>165</v>
      </c>
      <c r="K135" t="s">
        <v>11</v>
      </c>
      <c r="L135" t="s">
        <v>24</v>
      </c>
      <c r="M135" t="s">
        <v>25</v>
      </c>
      <c r="N135" t="s">
        <v>148</v>
      </c>
      <c r="O135" t="s">
        <v>219</v>
      </c>
      <c r="P135" s="2"/>
      <c r="Q135" s="2"/>
    </row>
    <row r="136" spans="1:17" x14ac:dyDescent="0.3">
      <c r="A136" t="s">
        <v>193</v>
      </c>
      <c r="B136" s="2" t="e">
        <f>VLOOKUP(A136,'[1]13.10'!$A:$E,5,0)</f>
        <v>#N/A</v>
      </c>
      <c r="C136" t="e">
        <f t="shared" ca="1" si="2"/>
        <v>#N/A</v>
      </c>
      <c r="J136" t="s">
        <v>165</v>
      </c>
      <c r="K136" t="s">
        <v>11</v>
      </c>
      <c r="L136" t="s">
        <v>24</v>
      </c>
      <c r="M136" t="s">
        <v>25</v>
      </c>
      <c r="N136" t="s">
        <v>148</v>
      </c>
      <c r="O136" t="s">
        <v>219</v>
      </c>
      <c r="P136" s="2"/>
      <c r="Q136" s="2"/>
    </row>
    <row r="137" spans="1:17" x14ac:dyDescent="0.3">
      <c r="A137" t="s">
        <v>194</v>
      </c>
      <c r="B137" s="2" t="e">
        <f>VLOOKUP(A137,'[1]13.10'!$A:$E,5,0)</f>
        <v>#N/A</v>
      </c>
      <c r="C137" t="e">
        <f t="shared" ca="1" si="2"/>
        <v>#N/A</v>
      </c>
      <c r="J137" t="s">
        <v>165</v>
      </c>
      <c r="K137" t="s">
        <v>11</v>
      </c>
      <c r="L137" t="s">
        <v>24</v>
      </c>
      <c r="M137" t="s">
        <v>25</v>
      </c>
      <c r="N137" t="s">
        <v>148</v>
      </c>
      <c r="O137" t="s">
        <v>219</v>
      </c>
      <c r="P137" s="2"/>
      <c r="Q137" s="2"/>
    </row>
    <row r="138" spans="1:17" x14ac:dyDescent="0.3">
      <c r="A138" t="s">
        <v>195</v>
      </c>
      <c r="B138" s="2" t="e">
        <f>VLOOKUP(A138,'[1]13.10'!$A:$E,5,0)</f>
        <v>#N/A</v>
      </c>
      <c r="C138" t="e">
        <f t="shared" ca="1" si="2"/>
        <v>#N/A</v>
      </c>
      <c r="J138" t="s">
        <v>29</v>
      </c>
      <c r="K138" t="s">
        <v>11</v>
      </c>
      <c r="L138" t="s">
        <v>24</v>
      </c>
      <c r="M138" t="s">
        <v>25</v>
      </c>
      <c r="N138" t="s">
        <v>148</v>
      </c>
      <c r="O138" t="s">
        <v>219</v>
      </c>
      <c r="P138" s="2"/>
      <c r="Q138" s="2"/>
    </row>
    <row r="139" spans="1:17" x14ac:dyDescent="0.3">
      <c r="A139" t="s">
        <v>196</v>
      </c>
      <c r="B139" s="2" t="e">
        <f>VLOOKUP(A139,'[1]13.10'!$A:$E,5,0)</f>
        <v>#N/A</v>
      </c>
      <c r="C139" t="e">
        <f t="shared" ca="1" si="2"/>
        <v>#N/A</v>
      </c>
      <c r="J139" t="s">
        <v>29</v>
      </c>
      <c r="K139" t="s">
        <v>11</v>
      </c>
      <c r="L139" t="s">
        <v>24</v>
      </c>
      <c r="M139" t="s">
        <v>25</v>
      </c>
      <c r="N139" t="s">
        <v>148</v>
      </c>
      <c r="O139" t="s">
        <v>219</v>
      </c>
      <c r="P139" s="2"/>
      <c r="Q139" s="2"/>
    </row>
    <row r="140" spans="1:17" x14ac:dyDescent="0.3">
      <c r="A140" t="s">
        <v>197</v>
      </c>
      <c r="B140" s="2" t="e">
        <f>VLOOKUP(A140,'[1]13.10'!$A:$E,5,0)</f>
        <v>#N/A</v>
      </c>
      <c r="C140" t="e">
        <f t="shared" ca="1" si="2"/>
        <v>#N/A</v>
      </c>
      <c r="J140" t="s">
        <v>29</v>
      </c>
      <c r="K140" t="s">
        <v>11</v>
      </c>
      <c r="L140" t="s">
        <v>24</v>
      </c>
      <c r="M140" t="s">
        <v>25</v>
      </c>
      <c r="N140" t="s">
        <v>148</v>
      </c>
      <c r="O140" t="s">
        <v>219</v>
      </c>
      <c r="P140" s="2"/>
      <c r="Q140" s="2"/>
    </row>
    <row r="141" spans="1:17" x14ac:dyDescent="0.3">
      <c r="A141" t="s">
        <v>198</v>
      </c>
      <c r="B141" s="2" t="e">
        <f>VLOOKUP(A141,'[1]13.10'!$A:$E,5,0)</f>
        <v>#N/A</v>
      </c>
      <c r="C141" t="e">
        <f t="shared" ca="1" si="2"/>
        <v>#N/A</v>
      </c>
      <c r="J141" t="s">
        <v>29</v>
      </c>
      <c r="K141" t="s">
        <v>11</v>
      </c>
      <c r="L141" t="s">
        <v>24</v>
      </c>
      <c r="M141" t="s">
        <v>25</v>
      </c>
      <c r="N141" t="s">
        <v>148</v>
      </c>
      <c r="O141" t="s">
        <v>219</v>
      </c>
      <c r="P141" s="2"/>
      <c r="Q141" s="2"/>
    </row>
    <row r="142" spans="1:17" x14ac:dyDescent="0.3">
      <c r="A142" t="s">
        <v>199</v>
      </c>
      <c r="B142" s="2" t="e">
        <f>VLOOKUP(A142,'[1]13.10'!$A:$E,5,0)</f>
        <v>#N/A</v>
      </c>
      <c r="C142" t="e">
        <f t="shared" ca="1" si="2"/>
        <v>#N/A</v>
      </c>
      <c r="J142" t="s">
        <v>29</v>
      </c>
      <c r="K142" t="s">
        <v>11</v>
      </c>
      <c r="L142" t="s">
        <v>24</v>
      </c>
      <c r="M142" t="s">
        <v>25</v>
      </c>
      <c r="O142" t="s">
        <v>219</v>
      </c>
      <c r="P142" s="2"/>
      <c r="Q142" s="2"/>
    </row>
    <row r="143" spans="1:17" x14ac:dyDescent="0.3">
      <c r="A143" t="s">
        <v>200</v>
      </c>
      <c r="B143" s="2" t="e">
        <f>VLOOKUP(A143,'[1]13.10'!$A:$E,5,0)</f>
        <v>#N/A</v>
      </c>
      <c r="C143" t="e">
        <f t="shared" ca="1" si="2"/>
        <v>#N/A</v>
      </c>
      <c r="J143" t="s">
        <v>29</v>
      </c>
      <c r="K143" t="s">
        <v>11</v>
      </c>
      <c r="L143" t="s">
        <v>24</v>
      </c>
      <c r="M143" t="s">
        <v>25</v>
      </c>
      <c r="N143" t="s">
        <v>148</v>
      </c>
      <c r="O143" t="s">
        <v>219</v>
      </c>
      <c r="P143" s="2"/>
      <c r="Q143" s="2"/>
    </row>
    <row r="144" spans="1:17" x14ac:dyDescent="0.3">
      <c r="A144" t="s">
        <v>201</v>
      </c>
      <c r="B144" s="2" t="e">
        <f>VLOOKUP(A144,'[1]13.10'!$A:$E,5,0)</f>
        <v>#N/A</v>
      </c>
      <c r="C144" t="e">
        <f t="shared" ca="1" si="2"/>
        <v>#N/A</v>
      </c>
      <c r="J144" t="s">
        <v>29</v>
      </c>
      <c r="K144" t="s">
        <v>11</v>
      </c>
      <c r="L144" t="s">
        <v>24</v>
      </c>
      <c r="M144" t="s">
        <v>25</v>
      </c>
      <c r="N144" t="s">
        <v>148</v>
      </c>
      <c r="O144" t="s">
        <v>219</v>
      </c>
      <c r="P144" s="2"/>
      <c r="Q144" s="2"/>
    </row>
    <row r="145" spans="1:17" x14ac:dyDescent="0.3">
      <c r="A145" t="s">
        <v>202</v>
      </c>
      <c r="B145" s="2" t="e">
        <f>VLOOKUP(A145,'[1]13.10'!$A:$E,5,0)</f>
        <v>#N/A</v>
      </c>
      <c r="C145" t="e">
        <f t="shared" ca="1" si="2"/>
        <v>#N/A</v>
      </c>
      <c r="J145" t="s">
        <v>29</v>
      </c>
      <c r="K145" t="s">
        <v>11</v>
      </c>
      <c r="L145" t="s">
        <v>24</v>
      </c>
      <c r="M145" t="s">
        <v>25</v>
      </c>
      <c r="N145" t="s">
        <v>148</v>
      </c>
      <c r="O145" t="s">
        <v>219</v>
      </c>
      <c r="P145" s="2"/>
      <c r="Q145" s="2"/>
    </row>
    <row r="146" spans="1:17" x14ac:dyDescent="0.3">
      <c r="A146" t="s">
        <v>203</v>
      </c>
      <c r="B146" s="2" t="e">
        <f>VLOOKUP(A146,'[1]13.10'!$A:$E,5,0)</f>
        <v>#N/A</v>
      </c>
      <c r="C146" t="e">
        <f t="shared" ca="1" si="2"/>
        <v>#N/A</v>
      </c>
      <c r="J146" t="s">
        <v>29</v>
      </c>
      <c r="K146" t="s">
        <v>11</v>
      </c>
      <c r="L146" t="s">
        <v>24</v>
      </c>
      <c r="M146" t="s">
        <v>25</v>
      </c>
      <c r="N146" t="s">
        <v>148</v>
      </c>
      <c r="O146" t="s">
        <v>219</v>
      </c>
      <c r="P146" s="2"/>
      <c r="Q146" s="2"/>
    </row>
    <row r="147" spans="1:17" x14ac:dyDescent="0.3">
      <c r="A147" t="s">
        <v>204</v>
      </c>
      <c r="B147" s="2" t="e">
        <f>VLOOKUP(A147,'[1]13.10'!$A:$E,5,0)</f>
        <v>#N/A</v>
      </c>
      <c r="C147" t="e">
        <f t="shared" ca="1" si="2"/>
        <v>#N/A</v>
      </c>
      <c r="J147" t="s">
        <v>29</v>
      </c>
      <c r="K147" t="s">
        <v>11</v>
      </c>
      <c r="L147" t="s">
        <v>24</v>
      </c>
      <c r="M147" t="s">
        <v>25</v>
      </c>
      <c r="N147" t="s">
        <v>148</v>
      </c>
      <c r="O147" t="s">
        <v>219</v>
      </c>
      <c r="P147" s="2"/>
      <c r="Q147" s="2"/>
    </row>
    <row r="148" spans="1:17" x14ac:dyDescent="0.3">
      <c r="A148" t="s">
        <v>205</v>
      </c>
      <c r="B148" s="2" t="e">
        <f>VLOOKUP(A148,'[1]13.10'!$A:$E,5,0)</f>
        <v>#N/A</v>
      </c>
      <c r="C148" t="e">
        <f t="shared" ca="1" si="2"/>
        <v>#N/A</v>
      </c>
      <c r="J148" t="s">
        <v>29</v>
      </c>
      <c r="K148" t="s">
        <v>11</v>
      </c>
      <c r="L148" t="s">
        <v>24</v>
      </c>
      <c r="M148" t="s">
        <v>25</v>
      </c>
      <c r="N148" t="s">
        <v>148</v>
      </c>
      <c r="O148" t="s">
        <v>219</v>
      </c>
      <c r="P148" s="2"/>
      <c r="Q148" s="2"/>
    </row>
    <row r="149" spans="1:17" x14ac:dyDescent="0.3">
      <c r="A149" t="s">
        <v>206</v>
      </c>
      <c r="B149" s="2" t="e">
        <f>VLOOKUP(A149,'[1]13.10'!$A:$E,5,0)</f>
        <v>#N/A</v>
      </c>
      <c r="C149" t="e">
        <f t="shared" ca="1" si="2"/>
        <v>#N/A</v>
      </c>
      <c r="J149" t="s">
        <v>23</v>
      </c>
      <c r="K149" t="s">
        <v>11</v>
      </c>
      <c r="L149" t="s">
        <v>24</v>
      </c>
      <c r="M149" t="s">
        <v>25</v>
      </c>
      <c r="O149" t="s">
        <v>219</v>
      </c>
      <c r="P149" s="2">
        <v>46290</v>
      </c>
      <c r="Q149" s="2"/>
    </row>
    <row r="150" spans="1:17" x14ac:dyDescent="0.3">
      <c r="A150" t="s">
        <v>207</v>
      </c>
      <c r="B150" s="2" t="e">
        <f>VLOOKUP(A150,'[1]13.10'!$A:$E,5,0)</f>
        <v>#N/A</v>
      </c>
      <c r="C150" t="e">
        <f t="shared" ca="1" si="2"/>
        <v>#N/A</v>
      </c>
      <c r="J150" t="s">
        <v>23</v>
      </c>
      <c r="K150" t="s">
        <v>11</v>
      </c>
      <c r="L150" t="s">
        <v>24</v>
      </c>
      <c r="M150" t="s">
        <v>25</v>
      </c>
      <c r="N150" t="s">
        <v>155</v>
      </c>
      <c r="O150" t="s">
        <v>219</v>
      </c>
      <c r="P150" s="2"/>
      <c r="Q150" s="2"/>
    </row>
    <row r="151" spans="1:17" x14ac:dyDescent="0.3">
      <c r="A151" t="s">
        <v>166</v>
      </c>
      <c r="B151" s="2">
        <f>VLOOKUP(A151,'[1]13.10'!$A:$E,5,0)</f>
        <v>46303</v>
      </c>
      <c r="C151">
        <f t="shared" ca="1" si="2"/>
        <v>-1</v>
      </c>
      <c r="D151" t="s">
        <v>186</v>
      </c>
      <c r="E151" t="s">
        <v>186</v>
      </c>
      <c r="F151" t="s">
        <v>186</v>
      </c>
      <c r="G151" t="s">
        <v>186</v>
      </c>
      <c r="H151" t="s">
        <v>186</v>
      </c>
      <c r="I151" t="s">
        <v>186</v>
      </c>
      <c r="J151" t="s">
        <v>120</v>
      </c>
      <c r="K151" t="s">
        <v>34</v>
      </c>
      <c r="L151" t="s">
        <v>24</v>
      </c>
      <c r="M151" t="s">
        <v>25</v>
      </c>
      <c r="N151" t="s">
        <v>155</v>
      </c>
      <c r="O151" t="s">
        <v>219</v>
      </c>
      <c r="P151" s="2">
        <v>46239</v>
      </c>
      <c r="Q151" s="2">
        <v>46235</v>
      </c>
    </row>
    <row r="152" spans="1:17" x14ac:dyDescent="0.3">
      <c r="A152" t="s">
        <v>167</v>
      </c>
      <c r="B152" s="2">
        <f>VLOOKUP(A152,'[1]13.10'!$A:$E,5,0)</f>
        <v>46303</v>
      </c>
      <c r="C152">
        <f t="shared" ca="1" si="2"/>
        <v>-1</v>
      </c>
      <c r="D152" t="s">
        <v>186</v>
      </c>
      <c r="E152" t="s">
        <v>186</v>
      </c>
      <c r="F152" t="s">
        <v>186</v>
      </c>
      <c r="G152" t="s">
        <v>186</v>
      </c>
      <c r="H152" t="s">
        <v>186</v>
      </c>
      <c r="I152" t="s">
        <v>186</v>
      </c>
      <c r="J152" t="s">
        <v>120</v>
      </c>
      <c r="K152" t="s">
        <v>34</v>
      </c>
      <c r="L152" t="s">
        <v>24</v>
      </c>
      <c r="M152" t="s">
        <v>25</v>
      </c>
      <c r="N152" t="s">
        <v>155</v>
      </c>
      <c r="O152" t="s">
        <v>219</v>
      </c>
      <c r="P152" s="2">
        <v>46270</v>
      </c>
      <c r="Q152" s="2">
        <v>46263</v>
      </c>
    </row>
    <row r="153" spans="1:17" x14ac:dyDescent="0.3">
      <c r="A153" t="s">
        <v>168</v>
      </c>
      <c r="B153" s="2">
        <f>VLOOKUP(A153,'[1]13.10'!$A:$E,5,0)</f>
        <v>46303</v>
      </c>
      <c r="C153">
        <f t="shared" ca="1" si="2"/>
        <v>-1</v>
      </c>
      <c r="D153" t="s">
        <v>186</v>
      </c>
      <c r="E153" t="s">
        <v>186</v>
      </c>
      <c r="F153" t="s">
        <v>186</v>
      </c>
      <c r="G153" t="s">
        <v>186</v>
      </c>
      <c r="H153" t="s">
        <v>186</v>
      </c>
      <c r="I153" t="s">
        <v>186</v>
      </c>
      <c r="J153" t="s">
        <v>120</v>
      </c>
      <c r="K153" t="s">
        <v>34</v>
      </c>
      <c r="L153" t="s">
        <v>24</v>
      </c>
      <c r="M153" t="s">
        <v>25</v>
      </c>
      <c r="N153" t="s">
        <v>155</v>
      </c>
      <c r="O153" t="s">
        <v>219</v>
      </c>
      <c r="P153" s="2">
        <v>46270</v>
      </c>
      <c r="Q153" s="2">
        <v>46263</v>
      </c>
    </row>
    <row r="154" spans="1:17" x14ac:dyDescent="0.3">
      <c r="A154" t="s">
        <v>169</v>
      </c>
      <c r="B154" s="2">
        <f>VLOOKUP(A154,'[1]13.10'!$A:$E,5,0)</f>
        <v>46303</v>
      </c>
      <c r="C154">
        <f t="shared" ca="1" si="2"/>
        <v>-1</v>
      </c>
      <c r="D154" t="s">
        <v>186</v>
      </c>
      <c r="E154" t="s">
        <v>186</v>
      </c>
      <c r="F154" t="s">
        <v>186</v>
      </c>
      <c r="G154" t="s">
        <v>186</v>
      </c>
      <c r="H154" t="s">
        <v>186</v>
      </c>
      <c r="I154" t="s">
        <v>186</v>
      </c>
      <c r="J154" t="s">
        <v>120</v>
      </c>
      <c r="K154" t="s">
        <v>34</v>
      </c>
      <c r="L154" t="s">
        <v>24</v>
      </c>
      <c r="M154" t="s">
        <v>25</v>
      </c>
      <c r="N154" t="s">
        <v>155</v>
      </c>
      <c r="O154" t="s">
        <v>219</v>
      </c>
      <c r="P154" s="2">
        <v>46239</v>
      </c>
      <c r="Q154" s="2">
        <v>46235</v>
      </c>
    </row>
    <row r="155" spans="1:17" x14ac:dyDescent="0.3">
      <c r="A155" t="s">
        <v>170</v>
      </c>
      <c r="B155" s="2">
        <f>VLOOKUP(A155,'[1]13.10'!$A:$E,5,0)</f>
        <v>46294</v>
      </c>
      <c r="C155">
        <f t="shared" ca="1" si="2"/>
        <v>-10</v>
      </c>
      <c r="D155" t="s">
        <v>186</v>
      </c>
      <c r="E155" t="s">
        <v>186</v>
      </c>
      <c r="F155" t="s">
        <v>186</v>
      </c>
      <c r="G155" t="s">
        <v>186</v>
      </c>
      <c r="H155" t="s">
        <v>186</v>
      </c>
      <c r="I155" t="s">
        <v>186</v>
      </c>
      <c r="J155" t="s">
        <v>120</v>
      </c>
      <c r="K155" t="s">
        <v>34</v>
      </c>
      <c r="L155" t="s">
        <v>24</v>
      </c>
      <c r="M155" t="s">
        <v>25</v>
      </c>
      <c r="N155" t="s">
        <v>155</v>
      </c>
      <c r="O155" t="s">
        <v>219</v>
      </c>
      <c r="P155" s="2">
        <v>46262</v>
      </c>
      <c r="Q155" s="2">
        <v>46261</v>
      </c>
    </row>
    <row r="156" spans="1:17" x14ac:dyDescent="0.3">
      <c r="A156" t="s">
        <v>171</v>
      </c>
      <c r="B156" s="2">
        <f>VLOOKUP(A156,'[1]13.10'!$A:$E,5,0)</f>
        <v>46289</v>
      </c>
      <c r="C156">
        <f t="shared" ca="1" si="2"/>
        <v>-15</v>
      </c>
      <c r="D156" t="s">
        <v>186</v>
      </c>
      <c r="E156" t="s">
        <v>186</v>
      </c>
      <c r="F156" t="s">
        <v>186</v>
      </c>
      <c r="G156" t="s">
        <v>186</v>
      </c>
      <c r="H156" t="s">
        <v>186</v>
      </c>
      <c r="I156" t="s">
        <v>186</v>
      </c>
      <c r="J156" t="s">
        <v>120</v>
      </c>
      <c r="K156" t="s">
        <v>34</v>
      </c>
      <c r="L156" t="s">
        <v>24</v>
      </c>
      <c r="M156" t="s">
        <v>25</v>
      </c>
      <c r="N156" t="s">
        <v>155</v>
      </c>
      <c r="O156" t="s">
        <v>219</v>
      </c>
      <c r="P156" s="2">
        <v>46270</v>
      </c>
      <c r="Q156" s="2">
        <v>46261</v>
      </c>
    </row>
    <row r="157" spans="1:17" x14ac:dyDescent="0.3">
      <c r="A157" t="s">
        <v>172</v>
      </c>
      <c r="B157" s="2">
        <f>VLOOKUP(A157,'[1]13.10'!$A:$E,5,0)</f>
        <v>46303</v>
      </c>
      <c r="C157">
        <f t="shared" ca="1" si="2"/>
        <v>-1</v>
      </c>
      <c r="D157" t="s">
        <v>186</v>
      </c>
      <c r="E157" t="s">
        <v>186</v>
      </c>
      <c r="F157" t="s">
        <v>186</v>
      </c>
      <c r="G157" t="s">
        <v>186</v>
      </c>
      <c r="H157" t="s">
        <v>186</v>
      </c>
      <c r="I157" t="s">
        <v>186</v>
      </c>
      <c r="J157" t="s">
        <v>120</v>
      </c>
      <c r="K157" t="s">
        <v>34</v>
      </c>
      <c r="L157" t="s">
        <v>24</v>
      </c>
      <c r="M157" t="s">
        <v>25</v>
      </c>
      <c r="N157" t="s">
        <v>155</v>
      </c>
      <c r="O157" t="s">
        <v>219</v>
      </c>
      <c r="P157" s="2">
        <v>46262</v>
      </c>
      <c r="Q157" s="2">
        <v>46256</v>
      </c>
    </row>
    <row r="158" spans="1:17" x14ac:dyDescent="0.3">
      <c r="A158" t="s">
        <v>173</v>
      </c>
      <c r="B158" s="2">
        <f>VLOOKUP(A158,'[1]13.10'!$A:$E,5,0)</f>
        <v>46303</v>
      </c>
      <c r="C158">
        <f t="shared" ca="1" si="2"/>
        <v>-1</v>
      </c>
      <c r="D158" t="s">
        <v>186</v>
      </c>
      <c r="E158" t="s">
        <v>186</v>
      </c>
      <c r="F158" t="s">
        <v>186</v>
      </c>
      <c r="G158" t="s">
        <v>186</v>
      </c>
      <c r="H158" t="s">
        <v>186</v>
      </c>
      <c r="I158" t="s">
        <v>186</v>
      </c>
      <c r="J158" t="s">
        <v>120</v>
      </c>
      <c r="K158" t="s">
        <v>34</v>
      </c>
      <c r="L158" t="s">
        <v>24</v>
      </c>
      <c r="M158" t="s">
        <v>25</v>
      </c>
      <c r="N158" t="s">
        <v>155</v>
      </c>
      <c r="O158" t="s">
        <v>219</v>
      </c>
      <c r="P158" s="2">
        <v>46270</v>
      </c>
      <c r="Q158" s="2">
        <v>46262</v>
      </c>
    </row>
    <row r="159" spans="1:17" x14ac:dyDescent="0.3">
      <c r="A159" t="s">
        <v>174</v>
      </c>
      <c r="B159" s="2">
        <f>VLOOKUP(A159,'[1]13.10'!$A:$E,5,0)</f>
        <v>46300</v>
      </c>
      <c r="C159">
        <f t="shared" ca="1" si="2"/>
        <v>-4</v>
      </c>
      <c r="D159" t="s">
        <v>186</v>
      </c>
      <c r="E159" t="s">
        <v>186</v>
      </c>
      <c r="F159" t="s">
        <v>186</v>
      </c>
      <c r="G159" t="s">
        <v>186</v>
      </c>
      <c r="H159" t="s">
        <v>186</v>
      </c>
      <c r="I159" t="s">
        <v>186</v>
      </c>
      <c r="J159" t="s">
        <v>120</v>
      </c>
      <c r="K159" t="s">
        <v>34</v>
      </c>
      <c r="L159" t="s">
        <v>24</v>
      </c>
      <c r="M159" t="s">
        <v>25</v>
      </c>
      <c r="N159" t="s">
        <v>155</v>
      </c>
      <c r="O159" t="s">
        <v>219</v>
      </c>
      <c r="P159" s="2">
        <v>46262</v>
      </c>
      <c r="Q159" s="2">
        <v>46261</v>
      </c>
    </row>
    <row r="160" spans="1:17" x14ac:dyDescent="0.3">
      <c r="A160" t="s">
        <v>175</v>
      </c>
      <c r="B160" s="2">
        <f>VLOOKUP(A160,'[1]13.10'!$A:$E,5,0)</f>
        <v>46303</v>
      </c>
      <c r="C160">
        <f t="shared" ca="1" si="2"/>
        <v>-1</v>
      </c>
      <c r="D160" t="s">
        <v>186</v>
      </c>
      <c r="E160" t="s">
        <v>186</v>
      </c>
      <c r="F160" t="s">
        <v>186</v>
      </c>
      <c r="G160" t="s">
        <v>186</v>
      </c>
      <c r="H160" t="s">
        <v>186</v>
      </c>
      <c r="I160" t="s">
        <v>186</v>
      </c>
      <c r="J160" t="s">
        <v>176</v>
      </c>
      <c r="K160" t="s">
        <v>11</v>
      </c>
      <c r="L160" t="s">
        <v>24</v>
      </c>
      <c r="M160" t="s">
        <v>25</v>
      </c>
      <c r="N160" t="s">
        <v>155</v>
      </c>
      <c r="O160" t="s">
        <v>219</v>
      </c>
      <c r="P160" s="2">
        <v>46280</v>
      </c>
      <c r="Q160" s="2">
        <v>46289</v>
      </c>
    </row>
    <row r="161" spans="1:17" x14ac:dyDescent="0.3">
      <c r="A161" t="s">
        <v>177</v>
      </c>
      <c r="B161" s="2">
        <f>VLOOKUP(A161,'[1]13.10'!$A:$E,5,0)</f>
        <v>46303</v>
      </c>
      <c r="C161">
        <f t="shared" ca="1" si="2"/>
        <v>-1</v>
      </c>
      <c r="D161" t="s">
        <v>186</v>
      </c>
      <c r="E161" t="s">
        <v>186</v>
      </c>
      <c r="F161" t="s">
        <v>186</v>
      </c>
      <c r="G161" t="s">
        <v>186</v>
      </c>
      <c r="H161" t="s">
        <v>186</v>
      </c>
      <c r="I161" t="s">
        <v>186</v>
      </c>
      <c r="J161" t="s">
        <v>176</v>
      </c>
      <c r="K161" t="s">
        <v>11</v>
      </c>
      <c r="L161" t="s">
        <v>24</v>
      </c>
      <c r="M161" t="s">
        <v>25</v>
      </c>
      <c r="N161" t="s">
        <v>155</v>
      </c>
      <c r="O161" t="s">
        <v>219</v>
      </c>
      <c r="P161" s="2">
        <v>46280</v>
      </c>
      <c r="Q161" s="2">
        <v>46289</v>
      </c>
    </row>
    <row r="162" spans="1:17" x14ac:dyDescent="0.3">
      <c r="A162" t="s">
        <v>178</v>
      </c>
      <c r="B162" s="2">
        <f>VLOOKUP(A162,'[1]13.10'!$A:$E,5,0)</f>
        <v>46302</v>
      </c>
      <c r="C162">
        <f t="shared" ca="1" si="2"/>
        <v>-2</v>
      </c>
      <c r="D162" t="s">
        <v>186</v>
      </c>
      <c r="E162" t="s">
        <v>186</v>
      </c>
      <c r="F162" t="s">
        <v>186</v>
      </c>
      <c r="G162" t="s">
        <v>186</v>
      </c>
      <c r="H162" t="s">
        <v>186</v>
      </c>
      <c r="I162" t="s">
        <v>186</v>
      </c>
      <c r="J162" t="s">
        <v>176</v>
      </c>
      <c r="K162" t="s">
        <v>11</v>
      </c>
      <c r="L162" t="s">
        <v>24</v>
      </c>
      <c r="M162" t="s">
        <v>25</v>
      </c>
      <c r="N162" t="s">
        <v>155</v>
      </c>
      <c r="O162" t="s">
        <v>219</v>
      </c>
      <c r="P162" s="2">
        <v>46280</v>
      </c>
      <c r="Q162" s="2">
        <v>46289</v>
      </c>
    </row>
    <row r="163" spans="1:17" x14ac:dyDescent="0.3">
      <c r="A163" t="s">
        <v>208</v>
      </c>
      <c r="B163" s="2" t="e">
        <f>VLOOKUP(A163,'[1]13.10'!$A:$E,5,0)</f>
        <v>#N/A</v>
      </c>
      <c r="C163" t="e">
        <f t="shared" ca="1" si="2"/>
        <v>#N/A</v>
      </c>
      <c r="J163" t="s">
        <v>176</v>
      </c>
      <c r="K163" t="s">
        <v>11</v>
      </c>
      <c r="L163" t="s">
        <v>24</v>
      </c>
      <c r="M163" t="s">
        <v>25</v>
      </c>
      <c r="N163" t="s">
        <v>148</v>
      </c>
      <c r="O163" t="s">
        <v>219</v>
      </c>
      <c r="P163" s="2"/>
      <c r="Q163" s="2"/>
    </row>
    <row r="164" spans="1:17" x14ac:dyDescent="0.3">
      <c r="A164" t="s">
        <v>209</v>
      </c>
      <c r="B164" s="2" t="e">
        <f>VLOOKUP(A164,'[1]13.10'!$A:$E,5,0)</f>
        <v>#N/A</v>
      </c>
      <c r="C164" t="e">
        <f t="shared" ca="1" si="2"/>
        <v>#N/A</v>
      </c>
      <c r="J164" t="s">
        <v>176</v>
      </c>
      <c r="K164" t="s">
        <v>11</v>
      </c>
      <c r="L164" t="s">
        <v>24</v>
      </c>
      <c r="M164" t="s">
        <v>25</v>
      </c>
      <c r="N164" t="s">
        <v>148</v>
      </c>
      <c r="O164" t="s">
        <v>219</v>
      </c>
      <c r="P164" s="2"/>
      <c r="Q164" s="2"/>
    </row>
    <row r="165" spans="1:17" x14ac:dyDescent="0.3">
      <c r="A165" t="s">
        <v>210</v>
      </c>
      <c r="B165" s="2">
        <f>VLOOKUP(A165,'[1]13.10'!$A:$E,5,0)</f>
        <v>0</v>
      </c>
      <c r="C165">
        <f t="shared" ca="1" si="2"/>
        <v>-46304</v>
      </c>
      <c r="J165" t="s">
        <v>176</v>
      </c>
      <c r="K165" t="s">
        <v>11</v>
      </c>
      <c r="L165" t="s">
        <v>24</v>
      </c>
      <c r="M165" t="s">
        <v>25</v>
      </c>
      <c r="N165" t="s">
        <v>148</v>
      </c>
      <c r="O165" t="s">
        <v>219</v>
      </c>
      <c r="P165" s="2"/>
      <c r="Q165" s="2"/>
    </row>
    <row r="166" spans="1:17" x14ac:dyDescent="0.3">
      <c r="A166" t="s">
        <v>211</v>
      </c>
      <c r="B166" s="2" t="e">
        <f>VLOOKUP(A166,'[1]13.10'!$A:$E,5,0)</f>
        <v>#N/A</v>
      </c>
      <c r="C166" t="e">
        <f t="shared" ca="1" si="2"/>
        <v>#N/A</v>
      </c>
      <c r="J166" t="s">
        <v>176</v>
      </c>
      <c r="K166" t="s">
        <v>11</v>
      </c>
      <c r="L166" t="s">
        <v>24</v>
      </c>
      <c r="M166" t="s">
        <v>25</v>
      </c>
      <c r="N166" t="s">
        <v>148</v>
      </c>
      <c r="O166" t="s">
        <v>219</v>
      </c>
      <c r="P166" s="2"/>
      <c r="Q166" s="2"/>
    </row>
    <row r="167" spans="1:17" x14ac:dyDescent="0.3">
      <c r="A167" t="s">
        <v>212</v>
      </c>
      <c r="B167" s="2" t="e">
        <f>VLOOKUP(A167,'[1]13.10'!$A:$E,5,0)</f>
        <v>#N/A</v>
      </c>
      <c r="C167" t="e">
        <f t="shared" ca="1" si="2"/>
        <v>#N/A</v>
      </c>
      <c r="J167" t="s">
        <v>176</v>
      </c>
      <c r="K167" t="s">
        <v>11</v>
      </c>
      <c r="L167" t="s">
        <v>24</v>
      </c>
      <c r="M167" t="s">
        <v>25</v>
      </c>
      <c r="N167" t="s">
        <v>148</v>
      </c>
      <c r="O167" t="s">
        <v>219</v>
      </c>
      <c r="P167" s="2"/>
      <c r="Q167" s="2"/>
    </row>
    <row r="168" spans="1:17" x14ac:dyDescent="0.3">
      <c r="A168" t="s">
        <v>213</v>
      </c>
      <c r="B168" s="2" t="e">
        <f>VLOOKUP(A168,'[1]13.10'!$A:$E,5,0)</f>
        <v>#N/A</v>
      </c>
      <c r="C168" t="e">
        <f t="shared" ca="1" si="2"/>
        <v>#N/A</v>
      </c>
      <c r="J168" t="s">
        <v>176</v>
      </c>
      <c r="K168" t="s">
        <v>11</v>
      </c>
      <c r="L168" t="s">
        <v>24</v>
      </c>
      <c r="M168" t="s">
        <v>25</v>
      </c>
      <c r="N168" t="s">
        <v>148</v>
      </c>
      <c r="O168" t="s">
        <v>219</v>
      </c>
      <c r="P168" s="2"/>
      <c r="Q168" s="2"/>
    </row>
    <row r="169" spans="1:17" x14ac:dyDescent="0.3">
      <c r="A169" t="s">
        <v>214</v>
      </c>
      <c r="B169" s="2" t="e">
        <f>VLOOKUP(A169,'[1]13.10'!$A:$E,5,0)</f>
        <v>#N/A</v>
      </c>
      <c r="C169" t="e">
        <f t="shared" ca="1" si="2"/>
        <v>#N/A</v>
      </c>
      <c r="J169" t="s">
        <v>23</v>
      </c>
      <c r="K169" t="s">
        <v>11</v>
      </c>
      <c r="L169" t="s">
        <v>24</v>
      </c>
      <c r="M169" t="s">
        <v>25</v>
      </c>
      <c r="N169" t="s">
        <v>155</v>
      </c>
      <c r="O169" t="s">
        <v>219</v>
      </c>
      <c r="P169" s="2"/>
      <c r="Q169" s="2"/>
    </row>
    <row r="170" spans="1:17" x14ac:dyDescent="0.3">
      <c r="A170" t="s">
        <v>215</v>
      </c>
      <c r="B170" s="2" t="e">
        <f>VLOOKUP(A170,'[1]13.10'!$A:$E,5,0)</f>
        <v>#N/A</v>
      </c>
      <c r="C170" t="e">
        <f t="shared" ca="1" si="2"/>
        <v>#N/A</v>
      </c>
      <c r="J170" t="s">
        <v>23</v>
      </c>
      <c r="K170" t="s">
        <v>11</v>
      </c>
      <c r="L170" t="s">
        <v>24</v>
      </c>
      <c r="M170" t="s">
        <v>25</v>
      </c>
      <c r="N170" t="s">
        <v>148</v>
      </c>
      <c r="O170" t="s">
        <v>219</v>
      </c>
      <c r="P170" s="2"/>
      <c r="Q170" s="2"/>
    </row>
    <row r="171" spans="1:17" x14ac:dyDescent="0.3">
      <c r="A171" t="s">
        <v>216</v>
      </c>
      <c r="B171" s="2" t="e">
        <f>VLOOKUP(A171,'[1]13.10'!$A:$E,5,0)</f>
        <v>#N/A</v>
      </c>
      <c r="C171" t="e">
        <f t="shared" ca="1" si="2"/>
        <v>#N/A</v>
      </c>
      <c r="J171" t="s">
        <v>23</v>
      </c>
      <c r="K171" t="s">
        <v>11</v>
      </c>
      <c r="L171" t="s">
        <v>24</v>
      </c>
      <c r="M171" t="s">
        <v>25</v>
      </c>
      <c r="N171" t="s">
        <v>148</v>
      </c>
      <c r="O171" t="s">
        <v>219</v>
      </c>
      <c r="P171" s="2"/>
      <c r="Q171" s="2"/>
    </row>
    <row r="172" spans="1:17" x14ac:dyDescent="0.3">
      <c r="A172" t="s">
        <v>217</v>
      </c>
      <c r="B172" s="2" t="e">
        <f>VLOOKUP(A172,'[1]13.10'!$A:$E,5,0)</f>
        <v>#N/A</v>
      </c>
      <c r="C172" t="e">
        <f t="shared" ca="1" si="2"/>
        <v>#N/A</v>
      </c>
      <c r="J172" t="s">
        <v>23</v>
      </c>
      <c r="K172" t="s">
        <v>11</v>
      </c>
      <c r="L172" t="s">
        <v>24</v>
      </c>
      <c r="M172" t="s">
        <v>25</v>
      </c>
      <c r="N172" t="s">
        <v>148</v>
      </c>
      <c r="O172" t="s">
        <v>219</v>
      </c>
      <c r="P172" s="2"/>
      <c r="Q172" s="2"/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2026-10-09T14:51:04Z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